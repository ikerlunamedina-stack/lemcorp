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gar Despacho del Día" sheetId="1" r:id="rId1"/>
    <sheet name="Resumen por SKU" sheetId="2" r:id="rId2"/>
    <sheet name="Almacé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4.83203125" customWidth="1"/>
    <col min="2" max="2" width="14.83203125" customWidth="1"/>
    <col min="3" max="3" width="40.83203125" customWidth="1"/>
    <col min="4" max="4" width="12.83203125" customWidth="1"/>
  </cols>
  <sheetData>
    <row r="1">
      <c r="A1" t="str">
        <v>PEGAR DESPACHO DEL DÍA</v>
      </c>
    </row>
    <row r="2">
      <c r="A2" t="str">
        <v>Pega aquí los despachos del día (uno por fila). El resumen se calcula solo en la hoja 'Resumen por SKU'.</v>
      </c>
    </row>
    <row r="4">
      <c r="A4" t="str">
        <v>FECHA</v>
      </c>
      <c r="B4" t="str">
        <v>SKU</v>
      </c>
      <c r="C4" t="str">
        <v>PRODUCTO</v>
      </c>
      <c r="D4" t="str">
        <v>CANTIDAD</v>
      </c>
    </row>
    <row r="5">
      <c r="A5" t="str">
        <v>2026-08-15</v>
      </c>
      <c r="B5" t="str">
        <v>1002900</v>
      </c>
      <c r="C5" t="str">
        <v>CONECTOR PLUG RJ-45</v>
      </c>
      <c r="D5">
        <v>10</v>
      </c>
    </row>
    <row r="6">
      <c r="A6" t="str">
        <v>2026-08-15</v>
      </c>
      <c r="B6" t="str">
        <v>1002900</v>
      </c>
      <c r="C6" t="str">
        <v>CONECTOR PLUG RJ-45</v>
      </c>
      <c r="D6">
        <v>5</v>
      </c>
    </row>
    <row r="7">
      <c r="A7" t="str">
        <v>2026-08-15</v>
      </c>
      <c r="B7" t="str">
        <v>1002950</v>
      </c>
      <c r="C7" t="str">
        <v>ATADOR DE IDENTIFICACION DE ABONADO</v>
      </c>
      <c r="D7">
        <v>20</v>
      </c>
    </row>
    <row r="8">
      <c r="A8" t="str">
        <v>2026-08-15</v>
      </c>
      <c r="B8" t="str">
        <v>1003101</v>
      </c>
      <c r="C8" t="str">
        <v>CABLE COAXIAL RG-6 AUTOSOPORTADO</v>
      </c>
      <c r="D8">
        <v>50</v>
      </c>
    </row>
    <row r="9">
      <c r="A9" t="str">
        <v>2026-08-15</v>
      </c>
      <c r="B9" t="str">
        <v>1004705</v>
      </c>
      <c r="C9" t="str">
        <v>CABLE COAXIAL BLANCO RG-6 S/MENSAJERO</v>
      </c>
      <c r="D9">
        <v>30</v>
      </c>
    </row>
    <row r="10">
      <c r="A10" t="str">
        <v>2026-08-15</v>
      </c>
      <c r="B10" t="str">
        <v>1002900</v>
      </c>
      <c r="C10" t="str">
        <v>CONECTOR PLUG RJ-45</v>
      </c>
      <c r="D10">
        <v>8</v>
      </c>
    </row>
    <row r="11">
      <c r="A11" t="str">
        <v>2026-08-15</v>
      </c>
      <c r="B11" t="str">
        <v>4076358</v>
      </c>
      <c r="C11" t="str">
        <v>ROUTER ONT HG8145X6-13 50088770 HUAWEI</v>
      </c>
      <c r="D11">
        <v>2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14.83203125" customWidth="1"/>
    <col min="2" max="2" width="40.83203125" customWidth="1"/>
    <col min="3" max="3" width="20.83203125" customWidth="1"/>
  </cols>
  <sheetData>
    <row r="1">
      <c r="A1" t="str">
        <v>RESUMEN POR SKU (automático)</v>
      </c>
    </row>
    <row r="2">
      <c r="A2" t="str">
        <v>Esta hoja suma automáticamente todos los despachos del día por SKU. Copia la columna 'Total Despachado' y pégala en la hoja 'Almacén'.</v>
      </c>
    </row>
    <row r="4">
      <c r="A4" t="str">
        <v>SKU</v>
      </c>
      <c r="B4" t="str">
        <v>PRODUCTO</v>
      </c>
      <c r="C4" t="str">
        <v>TOTAL DESPACHADO HOY</v>
      </c>
    </row>
    <row r="5">
      <c r="A5" t="str">
        <v>1002900</v>
      </c>
      <c r="B5" t="str">
        <v>CONECTOR PLUG RJ-45</v>
      </c>
      <c r="C5">
        <f>SUMAR.SI('Pegar Despacho del Día'!$B$5:$B$1000,$A5,'Pegar Despacho del Día'!$D$5:$D$1000)</f>
        <v>23</v>
      </c>
    </row>
    <row r="6">
      <c r="A6" t="str">
        <v>1002950</v>
      </c>
      <c r="B6" t="str">
        <v>ATADOR DE IDENTIFICACION DE ABONADO</v>
      </c>
      <c r="C6">
        <f>SUMAR.SI('Pegar Despacho del Día'!$B$5:$B$1000,$A6,'Pegar Despacho del Día'!$D$5:$D$1000)</f>
        <v>20</v>
      </c>
    </row>
    <row r="7">
      <c r="A7" t="str">
        <v>1003101</v>
      </c>
      <c r="B7" t="str">
        <v>CABLE COAXIAL RG-6 AUTOSOPORTADO</v>
      </c>
      <c r="C7">
        <f>SUMAR.SI('Pegar Despacho del Día'!$B$5:$B$1000,$A7,'Pegar Despacho del Día'!$D$5:$D$1000)</f>
        <v>50</v>
      </c>
    </row>
    <row r="8">
      <c r="A8" t="str">
        <v>1004705</v>
      </c>
      <c r="B8" t="str">
        <v>CABLE COAXIAL BLANCO RG-6 S/MENSAJERO</v>
      </c>
      <c r="C8">
        <f>SUMAR.SI('Pegar Despacho del Día'!$B$5:$B$1000,$A8,'Pegar Despacho del Día'!$D$5:$D$1000)</f>
        <v>30</v>
      </c>
    </row>
    <row r="9">
      <c r="A9" t="str">
        <v>1004692</v>
      </c>
      <c r="B9" t="str">
        <v>CABLE UTP CAT5E FTP 4PR/24AWG</v>
      </c>
      <c r="C9">
        <f>SUMAR.SI('Pegar Despacho del Día'!$B$5:$B$1000,$A9,'Pegar Despacho del Día'!$D$5:$D$1000)</f>
        <v>0</v>
      </c>
    </row>
    <row r="10">
      <c r="A10" t="str">
        <v>1042681</v>
      </c>
      <c r="B10" t="str">
        <v>ROSETA ATB3101 SIN PIGTAIL</v>
      </c>
      <c r="C10">
        <f>SUMAR.SI('Pegar Despacho del Día'!$B$5:$B$1000,$A10,'Pegar Despacho del Día'!$D$5:$D$1000)</f>
        <v>0</v>
      </c>
    </row>
    <row r="11">
      <c r="A11" t="str">
        <v>1004520</v>
      </c>
      <c r="B11" t="str">
        <v>SUJETADOR DE TRAMO-CHAPA Q</v>
      </c>
      <c r="C11">
        <f>SUMAR.SI('Pegar Despacho del Día'!$B$5:$B$1000,$A11,'Pegar Despacho del Día'!$D$5:$D$1000)</f>
        <v>0</v>
      </c>
    </row>
    <row r="12">
      <c r="A12" t="str">
        <v>1004521</v>
      </c>
      <c r="B12" t="str">
        <v>SUJETADOR DE ANCLAJE</v>
      </c>
      <c r="C12">
        <f>SUMAR.SI('Pegar Despacho del Día'!$B$5:$B$1000,$A12,'Pegar Despacho del Día'!$D$5:$D$1000)</f>
        <v>0</v>
      </c>
    </row>
    <row r="13">
      <c r="A13" t="str">
        <v>1004529</v>
      </c>
      <c r="B13" t="str">
        <v>ROSETA TELEFONICA CON GEL</v>
      </c>
      <c r="C13">
        <f>SUMAR.SI('Pegar Despacho del Día'!$B$5:$B$1000,$A13,'Pegar Despacho del Día'!$D$5:$D$1000)</f>
        <v>0</v>
      </c>
    </row>
    <row r="14">
      <c r="A14" t="str">
        <v>1004703</v>
      </c>
      <c r="B14" t="str">
        <v>CABLE TELEF INTERIOR 2/22 AWG</v>
      </c>
      <c r="C14">
        <f>SUMAR.SI('Pegar Despacho del Día'!$B$5:$B$1000,$A14,'Pegar Despacho del Día'!$D$5:$D$1000)</f>
        <v>0</v>
      </c>
    </row>
    <row r="15">
      <c r="A15" t="str">
        <v>4048528</v>
      </c>
      <c r="B15" t="str">
        <v>MODEM ARRIS TG2482 24X8 3.0 S/BAT</v>
      </c>
      <c r="C15">
        <f>SUMAR.SI('Pegar Despacho del Día'!$B$5:$B$1000,$A15,'Pegar Despacho del Día'!$D$5:$D$1000)</f>
        <v>0</v>
      </c>
    </row>
    <row r="16">
      <c r="A16" t="str">
        <v>4073653</v>
      </c>
      <c r="B16" t="str">
        <v>ROUTER K562E-10 50087708 HUAWEI</v>
      </c>
      <c r="C16">
        <f>SUMAR.SI('Pegar Despacho del Día'!$B$5:$B$1000,$A16,'Pegar Despacho del Día'!$D$5:$D$1000)</f>
        <v>0</v>
      </c>
    </row>
    <row r="17">
      <c r="A17" t="str">
        <v>4076224</v>
      </c>
      <c r="B17" t="str">
        <v>REPETIDOR ZXHN H3601P 180000528400 ZTE</v>
      </c>
      <c r="C17">
        <f>SUMAR.SI('Pegar Despacho del Día'!$B$5:$B$1000,$A17,'Pegar Despacho del Día'!$D$5:$D$1000)</f>
        <v>0</v>
      </c>
    </row>
    <row r="18">
      <c r="A18" t="str">
        <v>4076358</v>
      </c>
      <c r="B18" t="str">
        <v>ROUTER ONT HG8145X6-13 50088770 HUAWEI</v>
      </c>
      <c r="C18">
        <f>SUMAR.SI('Pegar Despacho del Día'!$B$5:$B$1000,$A18,'Pegar Despacho del Día'!$D$5:$D$1000)</f>
        <v>2</v>
      </c>
    </row>
    <row r="19">
      <c r="A19" t="str">
        <v>4072704</v>
      </c>
      <c r="B19" t="str">
        <v>DECODIFICADOR IPTV ZXV10 B866V2-H ZTE</v>
      </c>
      <c r="C19">
        <f>SUMAR.SI('Pegar Despacho del Día'!$B$5:$B$1000,$A19,'Pegar Despacho del Día'!$D$5:$D$1000)</f>
        <v>0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4.83203125" customWidth="1"/>
    <col min="2" max="2" width="40.83203125" customWidth="1"/>
    <col min="3" max="3" width="12.83203125" customWidth="1"/>
    <col min="4" max="4" width="14.83203125" customWidth="1"/>
    <col min="5" max="5" width="16.83203125" customWidth="1"/>
    <col min="6" max="6" width="14.83203125" customWidth="1"/>
  </cols>
  <sheetData>
    <row r="1">
      <c r="A1" t="str">
        <v>ALMACÉN — CONTROL DE INVENTARIO</v>
      </c>
    </row>
    <row r="2">
      <c r="A2" t="str">
        <v>Pega en la columna 'Despachado Hoy' los totales que copiaste de la hoja 'Resumen por SKU'. El 'Stock Actual' se calcula solo.</v>
      </c>
    </row>
    <row r="4">
      <c r="A4" t="str">
        <v>SKU</v>
      </c>
      <c r="B4" t="str">
        <v>PRODUCTO</v>
      </c>
      <c r="C4" t="str">
        <v>UDM</v>
      </c>
      <c r="D4" t="str">
        <v>STOCK INICIAL</v>
      </c>
      <c r="E4" t="str">
        <v>DESPACHADO HOY</v>
      </c>
      <c r="F4" t="str">
        <v>STOCK ACTUAL</v>
      </c>
    </row>
    <row r="5">
      <c r="A5" t="str">
        <v>1002900</v>
      </c>
      <c r="B5" t="str">
        <v>CONECTOR PLUG RJ-45</v>
      </c>
      <c r="C5" t="str">
        <v>UNIDADES</v>
      </c>
      <c r="D5">
        <v>2768</v>
      </c>
      <c r="E5">
        <v>0</v>
      </c>
      <c r="F5">
        <f>D5-E5</f>
        <v>2745</v>
      </c>
    </row>
    <row r="6">
      <c r="A6" t="str">
        <v>1002950</v>
      </c>
      <c r="B6" t="str">
        <v>ATADOR DE IDENTIFICACION DE ABONADO</v>
      </c>
      <c r="C6" t="str">
        <v>UNIDADES</v>
      </c>
      <c r="D6">
        <v>1475</v>
      </c>
      <c r="E6">
        <v>0</v>
      </c>
      <c r="F6">
        <f>D6-E6</f>
        <v>1455</v>
      </c>
    </row>
    <row r="7">
      <c r="A7" t="str">
        <v>1003101</v>
      </c>
      <c r="B7" t="str">
        <v>CABLE COAXIAL RG-6 AUTOSOPORTADO</v>
      </c>
      <c r="C7" t="str">
        <v>METROS</v>
      </c>
      <c r="D7">
        <v>6794</v>
      </c>
      <c r="E7">
        <v>0</v>
      </c>
      <c r="F7">
        <f>D7-E7</f>
        <v>6744</v>
      </c>
    </row>
    <row r="8">
      <c r="A8" t="str">
        <v>1004705</v>
      </c>
      <c r="B8" t="str">
        <v>CABLE COAXIAL BLANCO RG-6 S/MENSAJERO</v>
      </c>
      <c r="C8" t="str">
        <v>METROS</v>
      </c>
      <c r="D8">
        <v>3121</v>
      </c>
      <c r="E8">
        <v>0</v>
      </c>
      <c r="F8">
        <f>D8-E8</f>
        <v>3091</v>
      </c>
    </row>
    <row r="9">
      <c r="A9" t="str">
        <v>1004692</v>
      </c>
      <c r="B9" t="str">
        <v>CABLE UTP CAT5E FTP 4PR/24AWG</v>
      </c>
      <c r="C9" t="str">
        <v>METROS</v>
      </c>
      <c r="D9">
        <v>15921</v>
      </c>
      <c r="E9">
        <v>0</v>
      </c>
      <c r="F9">
        <f>D9-E9</f>
        <v>15921</v>
      </c>
    </row>
    <row r="10">
      <c r="A10" t="str">
        <v>1042681</v>
      </c>
      <c r="B10" t="str">
        <v>ROSETA ATB3101 SIN PIGTAIL</v>
      </c>
      <c r="C10" t="str">
        <v>UNIDADES</v>
      </c>
      <c r="D10">
        <v>188</v>
      </c>
      <c r="E10">
        <v>0</v>
      </c>
      <c r="F10">
        <f>D10-E10</f>
        <v>188</v>
      </c>
    </row>
    <row r="11">
      <c r="A11" t="str">
        <v>1004520</v>
      </c>
      <c r="B11" t="str">
        <v>SUJETADOR DE TRAMO-CHAPA Q</v>
      </c>
      <c r="C11" t="str">
        <v>UNIDADES</v>
      </c>
      <c r="D11">
        <v>1011</v>
      </c>
      <c r="E11">
        <v>0</v>
      </c>
      <c r="F11">
        <f>D11-E11</f>
        <v>1011</v>
      </c>
    </row>
    <row r="12">
      <c r="A12" t="str">
        <v>1004521</v>
      </c>
      <c r="B12" t="str">
        <v>SUJETADOR DE ANCLAJE</v>
      </c>
      <c r="C12" t="str">
        <v>UNIDADES</v>
      </c>
      <c r="D12">
        <v>1263</v>
      </c>
      <c r="E12">
        <v>0</v>
      </c>
      <c r="F12">
        <f>D12-E12</f>
        <v>1263</v>
      </c>
    </row>
    <row r="13">
      <c r="A13" t="str">
        <v>1004529</v>
      </c>
      <c r="B13" t="str">
        <v>ROSETA TELEFONICA CON GEL</v>
      </c>
      <c r="C13" t="str">
        <v>UNIDADES</v>
      </c>
      <c r="D13">
        <v>150</v>
      </c>
      <c r="E13">
        <v>0</v>
      </c>
      <c r="F13">
        <f>D13-E13</f>
        <v>150</v>
      </c>
    </row>
    <row r="14">
      <c r="A14" t="str">
        <v>1004703</v>
      </c>
      <c r="B14" t="str">
        <v>CABLE TELEF INTERIOR 2/22 AWG</v>
      </c>
      <c r="C14" t="str">
        <v>UNIDADES</v>
      </c>
      <c r="D14">
        <v>17</v>
      </c>
      <c r="E14">
        <v>0</v>
      </c>
      <c r="F14">
        <f>D14-E14</f>
        <v>17</v>
      </c>
    </row>
    <row r="15">
      <c r="A15" t="str">
        <v>4048528</v>
      </c>
      <c r="B15" t="str">
        <v>MODEM ARRIS TG2482 24X8 3.0 S/BAT</v>
      </c>
      <c r="C15" t="str">
        <v>UNIDADES</v>
      </c>
      <c r="D15">
        <v>12</v>
      </c>
      <c r="E15">
        <v>0</v>
      </c>
      <c r="F15">
        <f>D15-E15</f>
        <v>12</v>
      </c>
    </row>
    <row r="16">
      <c r="A16" t="str">
        <v>4073653</v>
      </c>
      <c r="B16" t="str">
        <v>ROUTER K562E-10 50087708 HUAWEI</v>
      </c>
      <c r="C16" t="str">
        <v>UNIDADES</v>
      </c>
      <c r="D16">
        <v>16</v>
      </c>
      <c r="E16">
        <v>0</v>
      </c>
      <c r="F16">
        <f>D16-E16</f>
        <v>16</v>
      </c>
    </row>
    <row r="17">
      <c r="A17" t="str">
        <v>4076224</v>
      </c>
      <c r="B17" t="str">
        <v>REPETIDOR ZXHN H3601P 180000528400 ZTE</v>
      </c>
      <c r="C17" t="str">
        <v>UNIDADES</v>
      </c>
      <c r="D17">
        <v>4</v>
      </c>
      <c r="E17">
        <v>0</v>
      </c>
      <c r="F17">
        <f>D17-E17</f>
        <v>4</v>
      </c>
    </row>
    <row r="18">
      <c r="A18" t="str">
        <v>4076358</v>
      </c>
      <c r="B18" t="str">
        <v>ROUTER ONT HG8145X6-13 50088770 HUAWEI</v>
      </c>
      <c r="C18" t="str">
        <v>UNIDADES</v>
      </c>
      <c r="D18">
        <v>29</v>
      </c>
      <c r="E18">
        <v>0</v>
      </c>
      <c r="F18">
        <f>D18-E18</f>
        <v>27</v>
      </c>
    </row>
    <row r="19">
      <c r="A19" t="str">
        <v>4072704</v>
      </c>
      <c r="B19" t="str">
        <v>DECODIFICADOR IPTV ZXV10 B866V2-H ZTE</v>
      </c>
      <c r="C19" t="str">
        <v>UNIDADES</v>
      </c>
      <c r="D19">
        <v>67</v>
      </c>
      <c r="E19">
        <v>0</v>
      </c>
      <c r="F19">
        <f>D19-E19</f>
        <v>67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Pegar Despacho del Día</vt:lpstr>
      <vt:lpstr>Resumen por SKU</vt:lpstr>
      <vt:lpstr>Almacén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