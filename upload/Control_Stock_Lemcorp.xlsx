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Stock" sheetId="2" state="visible" r:id="rId4"/>
    <sheet name="Pegar Despachos" sheetId="3" state="visible" r:id="rId5"/>
    <sheet name="Stock Base" sheetId="4" state="visible" r:id="rId6"/>
    <sheet name="Equipos (Series-MAC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<sst xmlns="http://schemas.openxmlformats.org/spreadsheetml/2006/main" count="1188" uniqueCount="293">
  <si>
    <t xml:space="preserve">CÓMO USAR ESTE ARCHIVO</t>
  </si>
  <si>
    <t xml:space="preserve">1. Cada día</t>
  </si>
  <si>
    <t xml:space="preserve">Abre tu excel de despachos y entra a la hoja "Resumen".</t>
  </si>
  <si>
    <t xml:space="preserve">2. Copia</t>
  </si>
  <si>
    <t xml:space="preserve">Selecciona PRODUCTO, SKU y TOTAL CONTABILIZADO de esa hoja.</t>
  </si>
  <si>
    <t xml:space="preserve">3. Pega</t>
  </si>
  <si>
    <t xml:space="preserve">Ve a la hoja "Pegar Despachos" de este archivo y pega debajo de la última fila usada (columnas B, C, D). Escribe la fecha en A. El orden no importa, cada fila descuenta por su SKU.</t>
  </si>
  <si>
    <t xml:space="preserve">4. Listo</t>
  </si>
  <si>
    <t xml:space="preserve">La hoja "Stock" ya muestra el STOCK ACTUAL descontado y AVERIADOS, sin nada más.</t>
  </si>
  <si>
    <t xml:space="preserve">5. Buscar</t>
  </si>
  <si>
    <t xml:space="preserve">En "Stock", a la derecha hay un buscador: escribe un SKU o parte del nombre y salen los datos de ese producto.</t>
  </si>
  <si>
    <t xml:space="preserve">6. Series y MAC</t>
  </si>
  <si>
    <t xml:space="preserve">En "Equipos (Series-MAC)" hay una sección por cada router/módem/decodificador. Ya tiene cargadas las series de tu último despacho; pega debajo las que sigan, con SERIE, MAC EMTA y MAC UA.</t>
  </si>
  <si>
    <t xml:space="preserve">Nota</t>
  </si>
  <si>
    <t xml:space="preserve">El STOCK INICIAL vive en la hoja "Stock Base", separado, para que no lo veas en tu día a día. Solo entra ahí si necesitas corregir el conteo de partida.</t>
  </si>
  <si>
    <t xml:space="preserve">MI STOCK</t>
  </si>
  <si>
    <t xml:space="preserve">Se descuenta solo con lo que pegues en la hoja "Pegar Despachos".</t>
  </si>
  <si>
    <t xml:space="preserve">PRODUCTO</t>
  </si>
  <si>
    <t xml:space="preserve">SKU</t>
  </si>
  <si>
    <t xml:space="preserve">UDM</t>
  </si>
  <si>
    <t xml:space="preserve">STOCK ACTUAL</t>
  </si>
  <si>
    <t xml:space="preserve">AVERIADOS</t>
  </si>
  <si>
    <t xml:space="preserve">BUSCADOR DE STOCK</t>
  </si>
  <si>
    <t xml:space="preserve">ATADOR DE IDENTIFICACION DE ABONADO</t>
  </si>
  <si>
    <t xml:space="preserve">1002950</t>
  </si>
  <si>
    <t xml:space="preserve">UNIDADES</t>
  </si>
  <si>
    <t xml:space="preserve">CABLE COAXIAL BLANCO RG-6 S/MENSAJERO</t>
  </si>
  <si>
    <t xml:space="preserve">1004705</t>
  </si>
  <si>
    <t xml:space="preserve">METROS</t>
  </si>
  <si>
    <t xml:space="preserve">Buscar (SKU o nombre):</t>
  </si>
  <si>
    <t xml:space="preserve">CABLE COAXIAL RG-6 AUTOSOPORTADO</t>
  </si>
  <si>
    <t xml:space="preserve">1003101</t>
  </si>
  <si>
    <t xml:space="preserve">Fila encontrada (uso interno, no borrar):</t>
  </si>
  <si>
    <t xml:space="preserve">CABLE FO DROP REDONDO CTC-0066 5MM 10MTS</t>
  </si>
  <si>
    <t xml:space="preserve">1059757</t>
  </si>
  <si>
    <t xml:space="preserve">Producto:</t>
  </si>
  <si>
    <t xml:space="preserve">CABLE FO ECS DROP 300M ECOSS</t>
  </si>
  <si>
    <t xml:space="preserve">1062235</t>
  </si>
  <si>
    <t xml:space="preserve">SKU:</t>
  </si>
  <si>
    <t xml:space="preserve">CABLE FO FASTCONNECT DROP 14138979 100M</t>
  </si>
  <si>
    <t xml:space="preserve">1062885</t>
  </si>
  <si>
    <t xml:space="preserve">UdM:</t>
  </si>
  <si>
    <t xml:space="preserve">CABLE FO FASTCONNECT DROP 14138979 150M</t>
  </si>
  <si>
    <t xml:space="preserve">1062886</t>
  </si>
  <si>
    <t xml:space="preserve">Stock Actual:</t>
  </si>
  <si>
    <t xml:space="preserve">CABLE FO FASTCONNECT DROP 14138979 220M</t>
  </si>
  <si>
    <t xml:space="preserve">1062887</t>
  </si>
  <si>
    <t xml:space="preserve">Averiados:</t>
  </si>
  <si>
    <t xml:space="preserve">CABLE FO FASTCONNECT DROP 14138979 300M</t>
  </si>
  <si>
    <t xml:space="preserve">1063812</t>
  </si>
  <si>
    <t xml:space="preserve">CABLE FO FASTCONNECT DROP 14138979 50M</t>
  </si>
  <si>
    <t xml:space="preserve">1062883</t>
  </si>
  <si>
    <t xml:space="preserve">Escribe el SKU exacto o parte del nombre del producto y arriba se llenan los datos.</t>
  </si>
  <si>
    <t xml:space="preserve">CABLE FO FASTCONNECT DROP 14138979 80M</t>
  </si>
  <si>
    <t xml:space="preserve">1062884</t>
  </si>
  <si>
    <t xml:space="preserve">CABLE FO PATCH CORD SC/APC ECOSS 1.5 M</t>
  </si>
  <si>
    <t xml:space="preserve">1061257</t>
  </si>
  <si>
    <t xml:space="preserve">CABLE HDMI 1.5M 4K V2 SOLYA</t>
  </si>
  <si>
    <t xml:space="preserve">1067962</t>
  </si>
  <si>
    <t xml:space="preserve">CABLE HDMI CHD1-6 MALE TO MALE 2M</t>
  </si>
  <si>
    <t xml:space="preserve">1004838</t>
  </si>
  <si>
    <t xml:space="preserve">CABLE TELEF INTERIOR 2/22 AWG</t>
  </si>
  <si>
    <t xml:space="preserve">1004703</t>
  </si>
  <si>
    <t xml:space="preserve">1033042</t>
  </si>
  <si>
    <t xml:space="preserve">CABLE UTP CAT5E FTP 4PR/24AWG 04070009</t>
  </si>
  <si>
    <t xml:space="preserve">1004692</t>
  </si>
  <si>
    <t xml:space="preserve">CAJA DE EMPALME DROP BOX-1 QTK</t>
  </si>
  <si>
    <t xml:space="preserve">1063891</t>
  </si>
  <si>
    <t xml:space="preserve">CONECTOR DE CONTINUIDAD RG6 EX6XL-PLUS</t>
  </si>
  <si>
    <t xml:space="preserve">1062712</t>
  </si>
  <si>
    <t xml:space="preserve">CONECTOR FIBRA OPTICA FTTH PPC</t>
  </si>
  <si>
    <t xml:space="preserve">1066118</t>
  </si>
  <si>
    <t xml:space="preserve">CONECTOR PLUG RJ-45</t>
  </si>
  <si>
    <t xml:space="preserve">1002900</t>
  </si>
  <si>
    <t xml:space="preserve">CONECTOR RJ 11</t>
  </si>
  <si>
    <t xml:space="preserve">1063021</t>
  </si>
  <si>
    <t xml:space="preserve">CONTROL REMOTO AMCO CERVINO ATV-BLACK</t>
  </si>
  <si>
    <t xml:space="preserve">1057958</t>
  </si>
  <si>
    <t xml:space="preserve">CONTROL REMOTO C3401 180000518128 ZTE</t>
  </si>
  <si>
    <t xml:space="preserve">1063890</t>
  </si>
  <si>
    <t xml:space="preserve">DECODIFICADOR IPTV ZXV10 B866V2-H ZTE</t>
  </si>
  <si>
    <t xml:space="preserve">4072704</t>
  </si>
  <si>
    <t xml:space="preserve">DECODIFICADOR MOTOROLA DVR DCX-3520</t>
  </si>
  <si>
    <t xml:space="preserve">4007967</t>
  </si>
  <si>
    <t xml:space="preserve">DECODIFICADOR MOTOROLA HD DCX-525</t>
  </si>
  <si>
    <t xml:space="preserve">4007984</t>
  </si>
  <si>
    <t xml:space="preserve">DECODIFICADOR ZXV10 B866V2-H-RCU ZTE</t>
  </si>
  <si>
    <t xml:space="preserve">4076547</t>
  </si>
  <si>
    <t xml:space="preserve">DECOFICADOR VSB3918 254064859 SAGEMCOM</t>
  </si>
  <si>
    <t xml:space="preserve">4073165</t>
  </si>
  <si>
    <t xml:space="preserve">DIVISOR INTERIOR 2 VIAS</t>
  </si>
  <si>
    <t xml:space="preserve">1003254</t>
  </si>
  <si>
    <t xml:space="preserve">DIVISOR INTERIOR 3 VIAS</t>
  </si>
  <si>
    <t xml:space="preserve">1003253</t>
  </si>
  <si>
    <t xml:space="preserve">GPON ONU ZXHN F680 V6-4GE+2FXS+WIFI DUAL</t>
  </si>
  <si>
    <t xml:space="preserve">4054455</t>
  </si>
  <si>
    <t xml:space="preserve">MODEM ARRIS TG2482 24X8 3.0 S/BAT</t>
  </si>
  <si>
    <t xml:space="preserve">4048528</t>
  </si>
  <si>
    <t xml:space="preserve">MODEM ARRIS TG3442A 32X8 3.1</t>
  </si>
  <si>
    <t xml:space="preserve">4059271</t>
  </si>
  <si>
    <t xml:space="preserve">MODEM INFINITY 601 32X8 3.1 CASTLENET</t>
  </si>
  <si>
    <t xml:space="preserve">4074174</t>
  </si>
  <si>
    <t xml:space="preserve">MODEM SAGEMCOM F3890V3 32X8SB DOCSIS 3.1</t>
  </si>
  <si>
    <t xml:space="preserve">4050441</t>
  </si>
  <si>
    <t xml:space="preserve">MODEM SAGEMCOM V2.2 3686 24X8 3.0 S/BAT</t>
  </si>
  <si>
    <t xml:space="preserve">4045541</t>
  </si>
  <si>
    <t xml:space="preserve">PAÑOS SECOS KIM-WIPES PARA LIMPIEZA DE FIBRA OPTICA</t>
  </si>
  <si>
    <t xml:space="preserve">5000503</t>
  </si>
  <si>
    <t xml:space="preserve">CAJA</t>
  </si>
  <si>
    <t xml:space="preserve">PROTECTOR DE HUMEDAD PARA CONECTOR RG6</t>
  </si>
  <si>
    <t xml:space="preserve">1051091</t>
  </si>
  <si>
    <t xml:space="preserve">REPETIDOR ZXHN H3601P 180000528400 ZTE</t>
  </si>
  <si>
    <t xml:space="preserve">4076224</t>
  </si>
  <si>
    <t xml:space="preserve">ROSETA ATB3101 SIN PIGTAIL</t>
  </si>
  <si>
    <t xml:space="preserve">1042681</t>
  </si>
  <si>
    <t xml:space="preserve">ROSETA TELEFONICA CON GEL</t>
  </si>
  <si>
    <t xml:space="preserve">1004529</t>
  </si>
  <si>
    <t xml:space="preserve">ROUTER F5670V2+2.5GE 254006170 SAGEMCOM</t>
  </si>
  <si>
    <t xml:space="preserve">4067831</t>
  </si>
  <si>
    <t xml:space="preserve">ROUTER F6600P 180000493829 ZTE</t>
  </si>
  <si>
    <t xml:space="preserve">4071122</t>
  </si>
  <si>
    <t xml:space="preserve">ROUTER HG8145V5 GPON DUAL BAND 2X2</t>
  </si>
  <si>
    <t xml:space="preserve">4053488</t>
  </si>
  <si>
    <t xml:space="preserve">ROUTER K562E-10 50087708 HUAWEI</t>
  </si>
  <si>
    <t xml:space="preserve">4073653</t>
  </si>
  <si>
    <t xml:space="preserve">ROUTER ONT HG8145X6-13 50088770 HUAWEI</t>
  </si>
  <si>
    <t xml:space="preserve">4076358</t>
  </si>
  <si>
    <t xml:space="preserve">SIMCARD VIRGEN 256KB VOLTE 2FF3FF4FF CAD (CHIPS DE AUTOGESTION)</t>
  </si>
  <si>
    <t xml:space="preserve">7014783</t>
  </si>
  <si>
    <t xml:space="preserve">SUJETADOR DE ANCLAJE</t>
  </si>
  <si>
    <t xml:space="preserve">1004521</t>
  </si>
  <si>
    <t xml:space="preserve">SUJETADOR DE TRAMO-CHAPA Q</t>
  </si>
  <si>
    <t xml:space="preserve">1004520</t>
  </si>
  <si>
    <t xml:space="preserve">SWITCH 6 PUERTOS FT8002SW FHTEK</t>
  </si>
  <si>
    <t xml:space="preserve">4074656</t>
  </si>
  <si>
    <t xml:space="preserve">TARUGO NYLON 3/8 NARANJA</t>
  </si>
  <si>
    <t xml:space="preserve">MATE-0020</t>
  </si>
  <si>
    <t xml:space="preserve">TELEFONO ECS622 ECOSS</t>
  </si>
  <si>
    <t xml:space="preserve">1053621</t>
  </si>
  <si>
    <t xml:space="preserve">PEGAR DESPACHOS AQUÍ</t>
  </si>
  <si>
    <t xml:space="preserve">Cada día: en tu excel de despachos, hoja "Resumen", copia PRODUCTO, SKU y TOTAL CONTABILIZADO, y pégalo debajo de la última fila usada (columnas B, C, D). Escribe la fecha en A. No se borra nada de "Stock": esta hoja solo suma, y "Stock" descuenta solo por SKU.</t>
  </si>
  <si>
    <t xml:space="preserve">FECHA</t>
  </si>
  <si>
    <t xml:space="preserve">CANTIDAD DESPACHADA</t>
  </si>
  <si>
    <t xml:space="preserve">STOCK BASE (punto de partida)</t>
  </si>
  <si>
    <t xml:space="preserve">Esto es lo único que alimenta el cálculo de "Stock". No lo necesitas ver día a día -- la hoja "Stock" ya te muestra el resultado. Solo entra aquí si necesitas corregir el conteo base.</t>
  </si>
  <si>
    <t xml:space="preserve">STOCK INICIAL</t>
  </si>
  <si>
    <t xml:space="preserve">EQUIPOS — SERIES Y MAC</t>
  </si>
  <si>
    <t xml:space="preserve">Una sección por producto (routers, módems, decodificadores, etc.). Ya cargué las series reales de tu último despacho. Pega debajo de cada sección las siguientes, con SERIE, MAC EMTA y MAC UA. Los materiales sin código (cables, conectores, rosetas, etc.) no van aquí, esos se controlan por cantidad en la hoja "Stock".</t>
  </si>
  <si>
    <t xml:space="preserve">DECODIFICADOR IPTV ZXV10 B866V2-H ZTE   (SKU 4072704)</t>
  </si>
  <si>
    <t xml:space="preserve">SERIE</t>
  </si>
  <si>
    <t xml:space="preserve">MAC EMTA</t>
  </si>
  <si>
    <t xml:space="preserve">MAC UA</t>
  </si>
  <si>
    <t xml:space="preserve">ZTEATV45500711434</t>
  </si>
  <si>
    <t xml:space="preserve">ZTEATV45501900548</t>
  </si>
  <si>
    <t xml:space="preserve">ZTEATV45500710319</t>
  </si>
  <si>
    <t xml:space="preserve">ZTEATV45500713852</t>
  </si>
  <si>
    <t xml:space="preserve">ZTEATV45501144257</t>
  </si>
  <si>
    <t xml:space="preserve">ZTEATV45501145012</t>
  </si>
  <si>
    <t xml:space="preserve">ZTEATV45501957446</t>
  </si>
  <si>
    <t xml:space="preserve">ZTEATV45500505396</t>
  </si>
  <si>
    <t xml:space="preserve">ZTEATV45501123241</t>
  </si>
  <si>
    <t xml:space="preserve">ZTEATV45501155162</t>
  </si>
  <si>
    <t xml:space="preserve">ZTEATV45501159720</t>
  </si>
  <si>
    <t xml:space="preserve">ZTEATV45501940500</t>
  </si>
  <si>
    <t xml:space="preserve">ZTEATV45500713261</t>
  </si>
  <si>
    <t xml:space="preserve">ZTEATV45501126728</t>
  </si>
  <si>
    <t xml:space="preserve">ZTEATV45501155344</t>
  </si>
  <si>
    <t xml:space="preserve">ZTEATV45501904790</t>
  </si>
  <si>
    <t xml:space="preserve">ZTEATV45501922869</t>
  </si>
  <si>
    <t xml:space="preserve">ZTEATV45500358458</t>
  </si>
  <si>
    <t xml:space="preserve">ZTEATV45501110985</t>
  </si>
  <si>
    <t xml:space="preserve">ZTEATV45501131973</t>
  </si>
  <si>
    <t xml:space="preserve">ZTEATV45501173238</t>
  </si>
  <si>
    <t xml:space="preserve">ZTEATV45501921109</t>
  </si>
  <si>
    <t xml:space="preserve">ZTEATV45501109144</t>
  </si>
  <si>
    <t xml:space="preserve">ZTEATV45501136463</t>
  </si>
  <si>
    <t xml:space="preserve">ZTEATV45501140674</t>
  </si>
  <si>
    <t xml:space="preserve">ZTEATV45501157952</t>
  </si>
  <si>
    <t xml:space="preserve">ZTEATV45501175510</t>
  </si>
  <si>
    <t xml:space="preserve">ZTEATV45500710240</t>
  </si>
  <si>
    <t xml:space="preserve">ZTEATV45500725266</t>
  </si>
  <si>
    <t xml:space="preserve">ZTEATV45500736063</t>
  </si>
  <si>
    <t xml:space="preserve">ZTEATV45501147533</t>
  </si>
  <si>
    <t xml:space="preserve">ZTEATV45501910996</t>
  </si>
  <si>
    <t xml:space="preserve">ZTEATV45500368854</t>
  </si>
  <si>
    <t xml:space="preserve">ZTEATV45501101336</t>
  </si>
  <si>
    <t xml:space="preserve">ZTEATV45501125543</t>
  </si>
  <si>
    <t xml:space="preserve">ZTEATV45501131333</t>
  </si>
  <si>
    <t xml:space="preserve">ZTEATV45500508256</t>
  </si>
  <si>
    <t xml:space="preserve">ZTEATV45500725821</t>
  </si>
  <si>
    <t xml:space="preserve">ZTEATV45500731720</t>
  </si>
  <si>
    <t xml:space="preserve">ZTEATV45501117439</t>
  </si>
  <si>
    <t xml:space="preserve">ZTEATV45501142496</t>
  </si>
  <si>
    <t xml:space="preserve">ZTEATV45501119391</t>
  </si>
  <si>
    <t xml:space="preserve">ZTEATV45501126347</t>
  </si>
  <si>
    <t xml:space="preserve">ZTEATV45501128875</t>
  </si>
  <si>
    <t xml:space="preserve">ZTEATV45501185933</t>
  </si>
  <si>
    <t xml:space="preserve">ZTEATV45501913397</t>
  </si>
  <si>
    <t xml:space="preserve">ZTEATV45500713492</t>
  </si>
  <si>
    <t xml:space="preserve">ZTEATV45500732765</t>
  </si>
  <si>
    <t xml:space="preserve">ZTEATV45500366722</t>
  </si>
  <si>
    <t xml:space="preserve">ZTEATV45501125313</t>
  </si>
  <si>
    <t xml:space="preserve">ZTEATV45501144072</t>
  </si>
  <si>
    <t xml:space="preserve">ZTEATV45501185194</t>
  </si>
  <si>
    <t xml:space="preserve">ZTEATV45501936950</t>
  </si>
  <si>
    <t xml:space="preserve">ZTEATV45500731615</t>
  </si>
  <si>
    <t xml:space="preserve">ZTEATV45501103228</t>
  </si>
  <si>
    <t xml:space="preserve">ZTEATV45501154041</t>
  </si>
  <si>
    <t xml:space="preserve">ZTEATV45501159362</t>
  </si>
  <si>
    <t xml:space="preserve">ZTEATV45501903603</t>
  </si>
  <si>
    <t xml:space="preserve">ZTEATV45500723109</t>
  </si>
  <si>
    <t xml:space="preserve">ZTEATV45500734040</t>
  </si>
  <si>
    <t xml:space="preserve">ZTEATV45501110823</t>
  </si>
  <si>
    <t xml:space="preserve">ZTEATV45501950899</t>
  </si>
  <si>
    <t xml:space="preserve">DECODIFICADOR MOTOROLA DVR DCX-3520   (SKU 4007967)</t>
  </si>
  <si>
    <t xml:space="preserve">DECODIFICADOR MOTOROLA HD DCX-525   (SKU 4007984)</t>
  </si>
  <si>
    <t xml:space="preserve">DECODIFICADOR ZXV10 B866V2-H-RCU ZTE   (SKU 4076547)</t>
  </si>
  <si>
    <t xml:space="preserve">DECOFICADOR VSB3918 254064859 SAGEMCOM   (SKU 4073165)</t>
  </si>
  <si>
    <t xml:space="preserve">GPON ONU ZXHN F680 V6-4GE+2FXS+WIFI DUAL   (SKU 4054455)</t>
  </si>
  <si>
    <t xml:space="preserve">MODEM ARRIS TG2482 24X8 3.0 S/BAT   (SKU 4048528)</t>
  </si>
  <si>
    <t xml:space="preserve">8AY2N9659203501</t>
  </si>
  <si>
    <t xml:space="preserve">92V2D567G204344</t>
  </si>
  <si>
    <t xml:space="preserve">96F2NB243204735</t>
  </si>
  <si>
    <t xml:space="preserve">21H4NJ698500137</t>
  </si>
  <si>
    <t xml:space="preserve">A8W4NJ686400741</t>
  </si>
  <si>
    <t xml:space="preserve">1484D9698501074</t>
  </si>
  <si>
    <t xml:space="preserve">21U4D99EC811507</t>
  </si>
  <si>
    <t xml:space="preserve">93P2D567G209940</t>
  </si>
  <si>
    <t xml:space="preserve">8AT2D554G214118</t>
  </si>
  <si>
    <t xml:space="preserve">91D2D566G218759</t>
  </si>
  <si>
    <t xml:space="preserve">9BV2NJ556302374</t>
  </si>
  <si>
    <t xml:space="preserve">9BW2NJ556301363</t>
  </si>
  <si>
    <t xml:space="preserve">MODEM ARRIS TG3442A 32X8 3.1   (SKU 4059271)</t>
  </si>
  <si>
    <t xml:space="preserve">MODEM INFINITY 601 32X8 3.1 CASTLENET   (SKU 4074174)</t>
  </si>
  <si>
    <t xml:space="preserve">MODEM SAGEMCOM F3890V3 32X8SB DOCSIS 3.1   (SKU 4050441)</t>
  </si>
  <si>
    <t xml:space="preserve">MODEM SAGEMCOM V2.2 3686 24X8 3.0 S/BAT   (SKU 4045541)</t>
  </si>
  <si>
    <t xml:space="preserve">REPETIDOR ZXHN H3601P 180000528400 ZTE   (SKU 4076224)</t>
  </si>
  <si>
    <t xml:space="preserve">ZTEYH8TT2602597</t>
  </si>
  <si>
    <t xml:space="preserve">ZTEYH8TT2601552</t>
  </si>
  <si>
    <t xml:space="preserve">ZTEYH8TT2602811</t>
  </si>
  <si>
    <t xml:space="preserve">ZTEYH8TT2601527</t>
  </si>
  <si>
    <t xml:space="preserve">ROUTER F5670V2+2.5GE 254006170 SAGEMCOM   (SKU 4067831)</t>
  </si>
  <si>
    <t xml:space="preserve">ROUTER F6600P 180000493829 ZTE   (SKU 4071122)</t>
  </si>
  <si>
    <t xml:space="preserve">5A544547D4F448B1</t>
  </si>
  <si>
    <t xml:space="preserve">5A544547D4EE208F</t>
  </si>
  <si>
    <t xml:space="preserve">ROUTER HG8145V5 GPON DUAL BAND 2X2   (SKU 4053488)</t>
  </si>
  <si>
    <t xml:space="preserve">ROUTER K562E-10 50087708 HUAWEI   (SKU 4073653)</t>
  </si>
  <si>
    <t xml:space="preserve">485754435B7E4DB8</t>
  </si>
  <si>
    <t xml:space="preserve">485754435B7BD2B8</t>
  </si>
  <si>
    <t xml:space="preserve">485754435B7E63B8</t>
  </si>
  <si>
    <t xml:space="preserve">485754435B7DCAB8</t>
  </si>
  <si>
    <t xml:space="preserve">485754435B7E04B8</t>
  </si>
  <si>
    <t xml:space="preserve">485754435B7C8AB8</t>
  </si>
  <si>
    <t xml:space="preserve">485754435B7EA7B8</t>
  </si>
  <si>
    <t xml:space="preserve">485754435B7DC5B8</t>
  </si>
  <si>
    <t xml:space="preserve">485754435B7D20B8</t>
  </si>
  <si>
    <t xml:space="preserve">485754435B7E2BB8</t>
  </si>
  <si>
    <t xml:space="preserve">485754435B7EFDB8</t>
  </si>
  <si>
    <t xml:space="preserve">485754435B7CC7B8</t>
  </si>
  <si>
    <t xml:space="preserve">485754435B7D23B8</t>
  </si>
  <si>
    <t xml:space="preserve">485754435B7BC0B8</t>
  </si>
  <si>
    <t xml:space="preserve">485754435B7BECB8</t>
  </si>
  <si>
    <t xml:space="preserve">485754435B7E7AB8</t>
  </si>
  <si>
    <t xml:space="preserve">ROUTER ONT HG8145X6-13 50088770 HUAWEI   (SKU 4076358)</t>
  </si>
  <si>
    <t xml:space="preserve">48575443364B58B7</t>
  </si>
  <si>
    <t xml:space="preserve">48575443364FEEB7</t>
  </si>
  <si>
    <t xml:space="preserve">485754433651FEB7</t>
  </si>
  <si>
    <t xml:space="preserve">48575443365E42B7</t>
  </si>
  <si>
    <t xml:space="preserve">485754433656A8B7</t>
  </si>
  <si>
    <t xml:space="preserve">48575443F96994B7</t>
  </si>
  <si>
    <t xml:space="preserve">48575443F969A1B7</t>
  </si>
  <si>
    <t xml:space="preserve">48575443F96328B7</t>
  </si>
  <si>
    <t xml:space="preserve">48575443F96495B7</t>
  </si>
  <si>
    <t xml:space="preserve">48575443F96772B7</t>
  </si>
  <si>
    <t xml:space="preserve">48575443F962B5B7</t>
  </si>
  <si>
    <t xml:space="preserve">48575443F96639B7</t>
  </si>
  <si>
    <t xml:space="preserve">48575443F96A77B7</t>
  </si>
  <si>
    <t xml:space="preserve">48575443F9622BB7</t>
  </si>
  <si>
    <t xml:space="preserve">48575443F96A10B7</t>
  </si>
  <si>
    <t xml:space="preserve">48575443F96A3FB7</t>
  </si>
  <si>
    <t xml:space="preserve">48575443F96CCCB7</t>
  </si>
  <si>
    <t xml:space="preserve">48575443ED4FABB7</t>
  </si>
  <si>
    <t xml:space="preserve">48575443ED502DB7</t>
  </si>
  <si>
    <t xml:space="preserve">48575443ED4DA9B7</t>
  </si>
  <si>
    <t xml:space="preserve">48575443ED4DC3B7</t>
  </si>
  <si>
    <t xml:space="preserve">48575443ED52D6B7</t>
  </si>
  <si>
    <t xml:space="preserve">48575443F969B6B7</t>
  </si>
  <si>
    <t xml:space="preserve">48575443F9629FB7</t>
  </si>
  <si>
    <t xml:space="preserve">48575443F96348B7</t>
  </si>
  <si>
    <t xml:space="preserve">48575443F964B1B7</t>
  </si>
  <si>
    <t xml:space="preserve">48575443364A9AB7</t>
  </si>
  <si>
    <t xml:space="preserve">48575443365503B7</t>
  </si>
  <si>
    <t xml:space="preserve">SWITCH 6 PUERTOS FT8002SW FHTEK   (SKU 4074656)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</si>
</sst>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999999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E5C8A"/>
      </patternFill>
    </fill>
    <fill>
      <patternFill patternType="solid">
        <fgColor rgb="FFFFF2CC"/>
        <bgColor rgb="FFFCE4E4"/>
      </patternFill>
    </fill>
    <fill>
      <patternFill patternType="solid">
        <fgColor rgb="FFE8F0FE"/>
        <bgColor rgb="FFFCE4E4"/>
      </patternFill>
    </fill>
    <fill>
      <patternFill patternType="solid">
        <fgColor rgb="FF2E5C8A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C0000"/>
      </font>
      <fill>
        <patternFill>
          <bgColor rgb="FFFCE4E4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2E5C8A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30" hidden="false" customHeight="true" outlineLevel="0" collapsed="false">
      <c r="A7" s="3" t="s">
        <v>4</v>
      </c>
    </row>
    <row r="9" customFormat="false" ht="15" hidden="false" customHeight="false" outlineLevel="0" collapsed="false">
      <c r="A9" s="2" t="s">
        <v>5</v>
      </c>
    </row>
    <row r="10" customFormat="false" ht="30" hidden="false" customHeight="true" outlineLevel="0" collapsed="false">
      <c r="A10" s="3" t="s">
        <v>6</v>
      </c>
    </row>
    <row r="12" customFormat="false" ht="15" hidden="false" customHeight="false" outlineLevel="0" collapsed="false">
      <c r="A12" s="2" t="s">
        <v>7</v>
      </c>
    </row>
    <row r="13" customFormat="false" ht="30" hidden="false" customHeight="true" outlineLevel="0" collapsed="false">
      <c r="A13" s="3" t="s">
        <v>8</v>
      </c>
    </row>
    <row r="15" customFormat="false" ht="15" hidden="false" customHeight="false" outlineLevel="0" collapsed="false">
      <c r="A15" s="2" t="s">
        <v>9</v>
      </c>
    </row>
    <row r="16" customFormat="false" ht="30" hidden="false" customHeight="true" outlineLevel="0" collapsed="false">
      <c r="A16" s="3" t="s">
        <v>10</v>
      </c>
    </row>
    <row r="18" customFormat="false" ht="15" hidden="false" customHeight="false" outlineLevel="0" collapsed="false">
      <c r="A18" s="2" t="s">
        <v>11</v>
      </c>
    </row>
    <row r="19" customFormat="false" ht="30" hidden="false" customHeight="true" outlineLevel="0" collapsed="false">
      <c r="A19" s="3" t="s">
        <v>12</v>
      </c>
    </row>
    <row r="21" customFormat="false" ht="15" hidden="false" customHeight="false" outlineLevel="0" collapsed="false">
      <c r="A21" s="2" t="s">
        <v>13</v>
      </c>
    </row>
    <row r="22" customFormat="false" ht="30" hidden="false" customHeight="true" outlineLevel="0" collapsed="false">
      <c r="A22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7" style="0" width="2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4" customFormat="false" ht="17.35" hidden="false" customHeight="fals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G4" s="6" t="s">
        <v>22</v>
      </c>
      <c r="H4" s="6"/>
    </row>
    <row r="5" customFormat="false" ht="15" hidden="false" customHeight="false" outlineLevel="0" collapsed="false">
      <c r="A5" s="7" t="s">
        <v>23</v>
      </c>
      <c r="B5" s="7" t="s">
        <v>24</v>
      </c>
      <c r="C5" s="8" t="s">
        <v>25</v>
      </c>
      <c r="D5" s="9" t="n">
        <f aca="false">'Stock Base'!D5-SUMIF('Pegar Despachos'!$C:$C,$B5,'Pegar Despachos'!$D:$D)</f>
        <v>1433</v>
      </c>
      <c r="E5" s="10" t="n">
        <f aca="false">'Stock Base'!E5</f>
        <v>0</v>
      </c>
    </row>
    <row r="6" customFormat="false" ht="15" hidden="false" customHeight="false" outlineLevel="0" collapsed="false">
      <c r="A6" s="7" t="s">
        <v>26</v>
      </c>
      <c r="B6" s="7" t="s">
        <v>27</v>
      </c>
      <c r="C6" s="8" t="s">
        <v>28</v>
      </c>
      <c r="D6" s="9" t="n">
        <f aca="false">'Stock Base'!D6-SUMIF('Pegar Despachos'!$C:$C,$B6,'Pegar Despachos'!$D:$D)</f>
        <v>2816</v>
      </c>
      <c r="E6" s="10" t="n">
        <f aca="false">'Stock Base'!E6</f>
        <v>0</v>
      </c>
      <c r="G6" s="11" t="s">
        <v>29</v>
      </c>
      <c r="H6" s="12"/>
    </row>
    <row r="7" customFormat="false" ht="15" hidden="false" customHeight="false" outlineLevel="0" collapsed="false">
      <c r="A7" s="7" t="s">
        <v>30</v>
      </c>
      <c r="B7" s="7" t="s">
        <v>31</v>
      </c>
      <c r="C7" s="8" t="s">
        <v>28</v>
      </c>
      <c r="D7" s="9" t="n">
        <f aca="false">'Stock Base'!D7-SUMIF('Pegar Despachos'!$C:$C,$B7,'Pegar Despachos'!$D:$D)</f>
        <v>6787</v>
      </c>
      <c r="E7" s="10" t="n">
        <f aca="false">'Stock Base'!E7</f>
        <v>0</v>
      </c>
      <c r="G7" s="13" t="s">
        <v>32</v>
      </c>
      <c r="H7" s="13" t="str">
        <f aca="false">IF(H6="","",IFERROR(MATCH(H6,Stock!$B$5:$B$57,0),IFERROR(MATCH("*"&amp;H6&amp;"*",Stock!$A$5:$A$57,0),"")))</f>
        <v/>
      </c>
    </row>
    <row r="8" customFormat="false" ht="15" hidden="false" customHeight="false" outlineLevel="0" collapsed="false">
      <c r="A8" s="7" t="s">
        <v>33</v>
      </c>
      <c r="B8" s="7" t="s">
        <v>34</v>
      </c>
      <c r="C8" s="8" t="s">
        <v>25</v>
      </c>
      <c r="D8" s="9" t="n">
        <f aca="false">'Stock Base'!D8-SUMIF('Pegar Despachos'!$C:$C,$B8,'Pegar Despachos'!$D:$D)</f>
        <v>35</v>
      </c>
      <c r="E8" s="10" t="n">
        <f aca="false">'Stock Base'!E8</f>
        <v>0</v>
      </c>
      <c r="G8" s="14" t="s">
        <v>35</v>
      </c>
      <c r="H8" s="15" t="str">
        <f aca="false">IFERROR(INDEX(Stock!$A$5:$A$57,H7),"No encontrado")</f>
        <v>No encontrado</v>
      </c>
    </row>
    <row r="9" customFormat="false" ht="15" hidden="false" customHeight="false" outlineLevel="0" collapsed="false">
      <c r="A9" s="7" t="s">
        <v>36</v>
      </c>
      <c r="B9" s="7" t="s">
        <v>37</v>
      </c>
      <c r="C9" s="8" t="s">
        <v>28</v>
      </c>
      <c r="D9" s="9" t="n">
        <f aca="false">'Stock Base'!D9-SUMIF('Pegar Despachos'!$C:$C,$B9,'Pegar Despachos'!$D:$D)</f>
        <v>1954</v>
      </c>
      <c r="E9" s="10" t="n">
        <f aca="false">'Stock Base'!E9</f>
        <v>0</v>
      </c>
      <c r="G9" s="14" t="s">
        <v>38</v>
      </c>
      <c r="H9" s="15" t="str">
        <f aca="false">IFERROR(INDEX(Stock!$B$5:$B$57,H7),"No encontrado")</f>
        <v>No encontrado</v>
      </c>
    </row>
    <row r="10" customFormat="false" ht="15" hidden="false" customHeight="false" outlineLevel="0" collapsed="false">
      <c r="A10" s="7" t="s">
        <v>39</v>
      </c>
      <c r="B10" s="7" t="s">
        <v>40</v>
      </c>
      <c r="C10" s="8" t="s">
        <v>25</v>
      </c>
      <c r="D10" s="9" t="n">
        <f aca="false">'Stock Base'!D10-SUMIF('Pegar Despachos'!$C:$C,$B10,'Pegar Despachos'!$D:$D)</f>
        <v>52</v>
      </c>
      <c r="E10" s="10" t="n">
        <f aca="false">'Stock Base'!E10</f>
        <v>0</v>
      </c>
      <c r="G10" s="14" t="s">
        <v>41</v>
      </c>
      <c r="H10" s="15" t="str">
        <f aca="false">IFERROR(INDEX(Stock!$C$5:$C$57,H7),"No encontrado")</f>
        <v>No encontrado</v>
      </c>
    </row>
    <row r="11" customFormat="false" ht="15" hidden="false" customHeight="false" outlineLevel="0" collapsed="false">
      <c r="A11" s="7" t="s">
        <v>42</v>
      </c>
      <c r="B11" s="7" t="s">
        <v>43</v>
      </c>
      <c r="C11" s="8" t="s">
        <v>25</v>
      </c>
      <c r="D11" s="9" t="n">
        <f aca="false">'Stock Base'!D11-SUMIF('Pegar Despachos'!$C:$C,$B11,'Pegar Despachos'!$D:$D)</f>
        <v>92</v>
      </c>
      <c r="E11" s="10" t="n">
        <f aca="false">'Stock Base'!E11</f>
        <v>0</v>
      </c>
      <c r="G11" s="14" t="s">
        <v>44</v>
      </c>
      <c r="H11" s="15" t="str">
        <f aca="false">IFERROR(INDEX(Stock!$D$5:$D$57,H7),"No encontrado")</f>
        <v>No encontrado</v>
      </c>
    </row>
    <row r="12" customFormat="false" ht="15" hidden="false" customHeight="false" outlineLevel="0" collapsed="false">
      <c r="A12" s="7" t="s">
        <v>45</v>
      </c>
      <c r="B12" s="7" t="s">
        <v>46</v>
      </c>
      <c r="C12" s="8" t="s">
        <v>25</v>
      </c>
      <c r="D12" s="9" t="n">
        <f aca="false">'Stock Base'!D12-SUMIF('Pegar Despachos'!$C:$C,$B12,'Pegar Despachos'!$D:$D)</f>
        <v>112</v>
      </c>
      <c r="E12" s="10" t="n">
        <f aca="false">'Stock Base'!E12</f>
        <v>0</v>
      </c>
      <c r="G12" s="14" t="s">
        <v>47</v>
      </c>
      <c r="H12" s="15" t="str">
        <f aca="false">IFERROR(INDEX(Stock!$E$5:$E$57,H7),"No encontrado")</f>
        <v>No encontrado</v>
      </c>
    </row>
    <row r="13" customFormat="false" ht="15" hidden="false" customHeight="false" outlineLevel="0" collapsed="false">
      <c r="A13" s="7" t="s">
        <v>48</v>
      </c>
      <c r="B13" s="7" t="s">
        <v>49</v>
      </c>
      <c r="C13" s="8" t="s">
        <v>25</v>
      </c>
      <c r="D13" s="9" t="n">
        <f aca="false">'Stock Base'!D13-SUMIF('Pegar Despachos'!$C:$C,$B13,'Pegar Despachos'!$D:$D)</f>
        <v>18</v>
      </c>
      <c r="E13" s="10" t="n">
        <f aca="false">'Stock Base'!E13</f>
        <v>0</v>
      </c>
    </row>
    <row r="14" customFormat="false" ht="15" hidden="false" customHeight="true" outlineLevel="0" collapsed="false">
      <c r="A14" s="7" t="s">
        <v>50</v>
      </c>
      <c r="B14" s="7" t="s">
        <v>51</v>
      </c>
      <c r="C14" s="8" t="s">
        <v>25</v>
      </c>
      <c r="D14" s="9" t="n">
        <f aca="false">'Stock Base'!D14-SUMIF('Pegar Despachos'!$C:$C,$B14,'Pegar Despachos'!$D:$D)</f>
        <v>182</v>
      </c>
      <c r="E14" s="10" t="n">
        <f aca="false">'Stock Base'!E14</f>
        <v>0</v>
      </c>
      <c r="G14" s="16" t="s">
        <v>52</v>
      </c>
      <c r="H14" s="16"/>
    </row>
    <row r="15" customFormat="false" ht="15" hidden="false" customHeight="false" outlineLevel="0" collapsed="false">
      <c r="A15" s="7" t="s">
        <v>53</v>
      </c>
      <c r="B15" s="7" t="s">
        <v>54</v>
      </c>
      <c r="C15" s="8" t="s">
        <v>25</v>
      </c>
      <c r="D15" s="9" t="n">
        <f aca="false">'Stock Base'!D15-SUMIF('Pegar Despachos'!$C:$C,$B15,'Pegar Despachos'!$D:$D)</f>
        <v>129</v>
      </c>
      <c r="E15" s="10" t="n">
        <f aca="false">'Stock Base'!E15</f>
        <v>0</v>
      </c>
      <c r="G15" s="16"/>
      <c r="H15" s="16"/>
    </row>
    <row r="16" customFormat="false" ht="15" hidden="false" customHeight="false" outlineLevel="0" collapsed="false">
      <c r="A16" s="7" t="s">
        <v>55</v>
      </c>
      <c r="B16" s="7" t="s">
        <v>56</v>
      </c>
      <c r="C16" s="8" t="s">
        <v>25</v>
      </c>
      <c r="D16" s="9" t="n">
        <f aca="false">'Stock Base'!D16-SUMIF('Pegar Despachos'!$C:$C,$B16,'Pegar Despachos'!$D:$D)</f>
        <v>27</v>
      </c>
      <c r="E16" s="10" t="n">
        <f aca="false">'Stock Base'!E16</f>
        <v>0</v>
      </c>
      <c r="G16" s="16"/>
      <c r="H16" s="16"/>
    </row>
    <row r="17" customFormat="false" ht="15" hidden="false" customHeight="false" outlineLevel="0" collapsed="false">
      <c r="A17" s="7" t="s">
        <v>57</v>
      </c>
      <c r="B17" s="7" t="s">
        <v>58</v>
      </c>
      <c r="C17" s="8" t="s">
        <v>25</v>
      </c>
      <c r="D17" s="9" t="n">
        <f aca="false">'Stock Base'!D17-SUMIF('Pegar Despachos'!$C:$C,$B17,'Pegar Despachos'!$D:$D)</f>
        <v>134</v>
      </c>
      <c r="E17" s="10" t="n">
        <f aca="false">'Stock Base'!E17</f>
        <v>0</v>
      </c>
    </row>
    <row r="18" customFormat="false" ht="15" hidden="false" customHeight="false" outlineLevel="0" collapsed="false">
      <c r="A18" s="7" t="s">
        <v>59</v>
      </c>
      <c r="B18" s="7" t="s">
        <v>60</v>
      </c>
      <c r="C18" s="8" t="s">
        <v>25</v>
      </c>
      <c r="D18" s="9" t="n">
        <f aca="false">'Stock Base'!D18-SUMIF('Pegar Despachos'!$C:$C,$B18,'Pegar Despachos'!$D:$D)</f>
        <v>1</v>
      </c>
      <c r="E18" s="10" t="n">
        <f aca="false">'Stock Base'!E18</f>
        <v>0</v>
      </c>
    </row>
    <row r="19" customFormat="false" ht="15" hidden="false" customHeight="false" outlineLevel="0" collapsed="false">
      <c r="A19" s="7" t="s">
        <v>61</v>
      </c>
      <c r="B19" s="7" t="s">
        <v>62</v>
      </c>
      <c r="C19" s="8" t="s">
        <v>25</v>
      </c>
      <c r="D19" s="9" t="n">
        <f aca="false">'Stock Base'!D19-SUMIF('Pegar Despachos'!$C:$C,$B19,'Pegar Despachos'!$D:$D)</f>
        <v>17</v>
      </c>
      <c r="E19" s="10" t="n">
        <f aca="false">'Stock Base'!E19</f>
        <v>0</v>
      </c>
    </row>
    <row r="20" customFormat="false" ht="15" hidden="false" customHeight="false" outlineLevel="0" collapsed="false">
      <c r="A20" s="7" t="s">
        <v>61</v>
      </c>
      <c r="B20" s="7" t="s">
        <v>63</v>
      </c>
      <c r="C20" s="8" t="s">
        <v>28</v>
      </c>
      <c r="D20" s="9" t="n">
        <f aca="false">'Stock Base'!D20-SUMIF('Pegar Despachos'!$C:$C,$B20,'Pegar Despachos'!$D:$D)</f>
        <v>2</v>
      </c>
      <c r="E20" s="10" t="n">
        <f aca="false">'Stock Base'!E20</f>
        <v>0</v>
      </c>
    </row>
    <row r="21" customFormat="false" ht="15" hidden="false" customHeight="false" outlineLevel="0" collapsed="false">
      <c r="A21" s="7" t="s">
        <v>64</v>
      </c>
      <c r="B21" s="7" t="s">
        <v>65</v>
      </c>
      <c r="C21" s="8" t="s">
        <v>28</v>
      </c>
      <c r="D21" s="9" t="n">
        <f aca="false">'Stock Base'!D21-SUMIF('Pegar Despachos'!$C:$C,$B21,'Pegar Despachos'!$D:$D)</f>
        <v>15909</v>
      </c>
      <c r="E21" s="10" t="n">
        <f aca="false">'Stock Base'!E21</f>
        <v>0</v>
      </c>
    </row>
    <row r="22" customFormat="false" ht="15" hidden="false" customHeight="false" outlineLevel="0" collapsed="false">
      <c r="A22" s="7" t="s">
        <v>66</v>
      </c>
      <c r="B22" s="7" t="s">
        <v>67</v>
      </c>
      <c r="C22" s="8" t="s">
        <v>25</v>
      </c>
      <c r="D22" s="9" t="n">
        <f aca="false">'Stock Base'!D22-SUMIF('Pegar Despachos'!$C:$C,$B22,'Pegar Despachos'!$D:$D)</f>
        <v>23</v>
      </c>
      <c r="E22" s="10" t="n">
        <f aca="false">'Stock Base'!E22</f>
        <v>0</v>
      </c>
    </row>
    <row r="23" customFormat="false" ht="15" hidden="false" customHeight="false" outlineLevel="0" collapsed="false">
      <c r="A23" s="7" t="s">
        <v>68</v>
      </c>
      <c r="B23" s="7" t="s">
        <v>69</v>
      </c>
      <c r="C23" s="8" t="s">
        <v>25</v>
      </c>
      <c r="D23" s="9" t="n">
        <f aca="false">'Stock Base'!D23-SUMIF('Pegar Despachos'!$C:$C,$B23,'Pegar Despachos'!$D:$D)</f>
        <v>2280</v>
      </c>
      <c r="E23" s="10" t="n">
        <f aca="false">'Stock Base'!E23</f>
        <v>0</v>
      </c>
    </row>
    <row r="24" customFormat="false" ht="15" hidden="false" customHeight="false" outlineLevel="0" collapsed="false">
      <c r="A24" s="7" t="s">
        <v>70</v>
      </c>
      <c r="B24" s="7" t="s">
        <v>71</v>
      </c>
      <c r="C24" s="8" t="s">
        <v>25</v>
      </c>
      <c r="D24" s="9" t="n">
        <f aca="false">'Stock Base'!D24-SUMIF('Pegar Despachos'!$C:$C,$B24,'Pegar Despachos'!$D:$D)</f>
        <v>1958</v>
      </c>
      <c r="E24" s="10" t="n">
        <f aca="false">'Stock Base'!E24</f>
        <v>0</v>
      </c>
    </row>
    <row r="25" customFormat="false" ht="15" hidden="false" customHeight="false" outlineLevel="0" collapsed="false">
      <c r="A25" s="7" t="s">
        <v>72</v>
      </c>
      <c r="B25" s="7" t="s">
        <v>73</v>
      </c>
      <c r="C25" s="8" t="s">
        <v>25</v>
      </c>
      <c r="D25" s="9" t="n">
        <f aca="false">'Stock Base'!D25-SUMIF('Pegar Despachos'!$C:$C,$B25,'Pegar Despachos'!$D:$D)</f>
        <v>2631</v>
      </c>
      <c r="E25" s="10" t="n">
        <f aca="false">'Stock Base'!E25</f>
        <v>0</v>
      </c>
    </row>
    <row r="26" customFormat="false" ht="15" hidden="false" customHeight="false" outlineLevel="0" collapsed="false">
      <c r="A26" s="7" t="s">
        <v>74</v>
      </c>
      <c r="B26" s="7" t="s">
        <v>75</v>
      </c>
      <c r="C26" s="8" t="s">
        <v>25</v>
      </c>
      <c r="D26" s="9" t="n">
        <f aca="false">'Stock Base'!D26-SUMIF('Pegar Despachos'!$C:$C,$B26,'Pegar Despachos'!$D:$D)</f>
        <v>196</v>
      </c>
      <c r="E26" s="10" t="n">
        <f aca="false">'Stock Base'!E26</f>
        <v>0</v>
      </c>
    </row>
    <row r="27" customFormat="false" ht="15" hidden="false" customHeight="false" outlineLevel="0" collapsed="false">
      <c r="A27" s="7" t="s">
        <v>76</v>
      </c>
      <c r="B27" s="7" t="s">
        <v>77</v>
      </c>
      <c r="C27" s="8" t="s">
        <v>25</v>
      </c>
      <c r="D27" s="9" t="n">
        <f aca="false">'Stock Base'!D27-SUMIF('Pegar Despachos'!$C:$C,$B27,'Pegar Despachos'!$D:$D)</f>
        <v>58</v>
      </c>
      <c r="E27" s="10" t="n">
        <f aca="false">'Stock Base'!E27</f>
        <v>0</v>
      </c>
    </row>
    <row r="28" customFormat="false" ht="15" hidden="false" customHeight="false" outlineLevel="0" collapsed="false">
      <c r="A28" s="7" t="s">
        <v>78</v>
      </c>
      <c r="B28" s="7" t="s">
        <v>79</v>
      </c>
      <c r="C28" s="8" t="s">
        <v>25</v>
      </c>
      <c r="D28" s="9" t="n">
        <f aca="false">'Stock Base'!D28-SUMIF('Pegar Despachos'!$C:$C,$B28,'Pegar Despachos'!$D:$D)</f>
        <v>328</v>
      </c>
      <c r="E28" s="10" t="n">
        <f aca="false">'Stock Base'!E28</f>
        <v>0</v>
      </c>
    </row>
    <row r="29" customFormat="false" ht="15" hidden="false" customHeight="false" outlineLevel="0" collapsed="false">
      <c r="A29" s="7" t="s">
        <v>80</v>
      </c>
      <c r="B29" s="7" t="s">
        <v>81</v>
      </c>
      <c r="C29" s="8" t="s">
        <v>25</v>
      </c>
      <c r="D29" s="9" t="n">
        <f aca="false">'Stock Base'!D29-SUMIF('Pegar Despachos'!$C:$C,$B29,'Pegar Despachos'!$D:$D)</f>
        <v>161</v>
      </c>
      <c r="E29" s="10" t="n">
        <f aca="false">'Stock Base'!E29</f>
        <v>2</v>
      </c>
    </row>
    <row r="30" customFormat="false" ht="15" hidden="false" customHeight="false" outlineLevel="0" collapsed="false">
      <c r="A30" s="7" t="s">
        <v>82</v>
      </c>
      <c r="B30" s="7" t="s">
        <v>83</v>
      </c>
      <c r="C30" s="8" t="s">
        <v>25</v>
      </c>
      <c r="D30" s="9" t="n">
        <f aca="false">'Stock Base'!D30-SUMIF('Pegar Despachos'!$C:$C,$B30,'Pegar Despachos'!$D:$D)</f>
        <v>2</v>
      </c>
      <c r="E30" s="10" t="n">
        <f aca="false">'Stock Base'!E30</f>
        <v>0</v>
      </c>
    </row>
    <row r="31" customFormat="false" ht="15" hidden="false" customHeight="false" outlineLevel="0" collapsed="false">
      <c r="A31" s="7" t="s">
        <v>84</v>
      </c>
      <c r="B31" s="7" t="s">
        <v>85</v>
      </c>
      <c r="C31" s="8" t="s">
        <v>25</v>
      </c>
      <c r="D31" s="9" t="n">
        <f aca="false">'Stock Base'!D31-SUMIF('Pegar Despachos'!$C:$C,$B31,'Pegar Despachos'!$D:$D)</f>
        <v>20</v>
      </c>
      <c r="E31" s="10" t="n">
        <f aca="false">'Stock Base'!E31</f>
        <v>73</v>
      </c>
    </row>
    <row r="32" customFormat="false" ht="15" hidden="false" customHeight="false" outlineLevel="0" collapsed="false">
      <c r="A32" s="7" t="s">
        <v>86</v>
      </c>
      <c r="B32" s="7" t="s">
        <v>87</v>
      </c>
      <c r="C32" s="8" t="s">
        <v>25</v>
      </c>
      <c r="D32" s="9" t="n">
        <f aca="false">'Stock Base'!D32-SUMIF('Pegar Despachos'!$C:$C,$B32,'Pegar Despachos'!$D:$D)</f>
        <v>5</v>
      </c>
      <c r="E32" s="10" t="n">
        <f aca="false">'Stock Base'!E32</f>
        <v>4</v>
      </c>
    </row>
    <row r="33" customFormat="false" ht="15" hidden="false" customHeight="false" outlineLevel="0" collapsed="false">
      <c r="A33" s="7" t="s">
        <v>88</v>
      </c>
      <c r="B33" s="7" t="s">
        <v>89</v>
      </c>
      <c r="C33" s="8" t="s">
        <v>25</v>
      </c>
      <c r="D33" s="9" t="n">
        <f aca="false">'Stock Base'!D33-SUMIF('Pegar Despachos'!$C:$C,$B33,'Pegar Despachos'!$D:$D)</f>
        <v>5</v>
      </c>
      <c r="E33" s="10" t="n">
        <f aca="false">'Stock Base'!E33</f>
        <v>1</v>
      </c>
    </row>
    <row r="34" customFormat="false" ht="15" hidden="false" customHeight="false" outlineLevel="0" collapsed="false">
      <c r="A34" s="7" t="s">
        <v>90</v>
      </c>
      <c r="B34" s="7" t="s">
        <v>91</v>
      </c>
      <c r="C34" s="8" t="s">
        <v>25</v>
      </c>
      <c r="D34" s="9" t="n">
        <f aca="false">'Stock Base'!D34-SUMIF('Pegar Despachos'!$C:$C,$B34,'Pegar Despachos'!$D:$D)</f>
        <v>309</v>
      </c>
      <c r="E34" s="10" t="n">
        <f aca="false">'Stock Base'!E34</f>
        <v>0</v>
      </c>
    </row>
    <row r="35" customFormat="false" ht="15" hidden="false" customHeight="false" outlineLevel="0" collapsed="false">
      <c r="A35" s="7" t="s">
        <v>92</v>
      </c>
      <c r="B35" s="7" t="s">
        <v>93</v>
      </c>
      <c r="C35" s="8" t="s">
        <v>25</v>
      </c>
      <c r="D35" s="9" t="n">
        <f aca="false">'Stock Base'!D35-SUMIF('Pegar Despachos'!$C:$C,$B35,'Pegar Despachos'!$D:$D)</f>
        <v>136</v>
      </c>
      <c r="E35" s="10" t="n">
        <f aca="false">'Stock Base'!E35</f>
        <v>0</v>
      </c>
    </row>
    <row r="36" customFormat="false" ht="15" hidden="false" customHeight="false" outlineLevel="0" collapsed="false">
      <c r="A36" s="7" t="s">
        <v>94</v>
      </c>
      <c r="B36" s="7" t="s">
        <v>95</v>
      </c>
      <c r="C36" s="8" t="s">
        <v>25</v>
      </c>
      <c r="D36" s="9" t="n">
        <f aca="false">'Stock Base'!D36-SUMIF('Pegar Despachos'!$C:$C,$B36,'Pegar Despachos'!$D:$D)</f>
        <v>29</v>
      </c>
      <c r="E36" s="10" t="n">
        <f aca="false">'Stock Base'!E36</f>
        <v>3</v>
      </c>
    </row>
    <row r="37" customFormat="false" ht="15" hidden="false" customHeight="false" outlineLevel="0" collapsed="false">
      <c r="A37" s="7" t="s">
        <v>96</v>
      </c>
      <c r="B37" s="7" t="s">
        <v>97</v>
      </c>
      <c r="C37" s="8" t="s">
        <v>25</v>
      </c>
      <c r="D37" s="9" t="n">
        <f aca="false">'Stock Base'!D37-SUMIF('Pegar Despachos'!$C:$C,$B37,'Pegar Despachos'!$D:$D)</f>
        <v>31</v>
      </c>
      <c r="E37" s="10" t="n">
        <f aca="false">'Stock Base'!E37</f>
        <v>15</v>
      </c>
    </row>
    <row r="38" customFormat="false" ht="15" hidden="false" customHeight="false" outlineLevel="0" collapsed="false">
      <c r="A38" s="7" t="s">
        <v>98</v>
      </c>
      <c r="B38" s="7" t="s">
        <v>99</v>
      </c>
      <c r="C38" s="8" t="s">
        <v>25</v>
      </c>
      <c r="D38" s="9" t="n">
        <f aca="false">'Stock Base'!D38-SUMIF('Pegar Despachos'!$C:$C,$B38,'Pegar Despachos'!$D:$D)</f>
        <v>1</v>
      </c>
      <c r="E38" s="10" t="n">
        <f aca="false">'Stock Base'!E38</f>
        <v>4</v>
      </c>
    </row>
    <row r="39" customFormat="false" ht="15" hidden="false" customHeight="false" outlineLevel="0" collapsed="false">
      <c r="A39" s="7" t="s">
        <v>100</v>
      </c>
      <c r="B39" s="7" t="s">
        <v>101</v>
      </c>
      <c r="C39" s="8" t="s">
        <v>25</v>
      </c>
      <c r="D39" s="9" t="n">
        <f aca="false">'Stock Base'!D39-SUMIF('Pegar Despachos'!$C:$C,$B39,'Pegar Despachos'!$D:$D)</f>
        <v>114</v>
      </c>
      <c r="E39" s="10" t="n">
        <f aca="false">'Stock Base'!E39</f>
        <v>13</v>
      </c>
    </row>
    <row r="40" customFormat="false" ht="15" hidden="false" customHeight="false" outlineLevel="0" collapsed="false">
      <c r="A40" s="7" t="s">
        <v>102</v>
      </c>
      <c r="B40" s="7" t="s">
        <v>103</v>
      </c>
      <c r="C40" s="8" t="s">
        <v>25</v>
      </c>
      <c r="D40" s="9" t="n">
        <f aca="false">'Stock Base'!D40-SUMIF('Pegar Despachos'!$C:$C,$B40,'Pegar Despachos'!$D:$D)</f>
        <v>43</v>
      </c>
      <c r="E40" s="10" t="n">
        <f aca="false">'Stock Base'!E40</f>
        <v>10</v>
      </c>
    </row>
    <row r="41" customFormat="false" ht="15" hidden="false" customHeight="false" outlineLevel="0" collapsed="false">
      <c r="A41" s="7" t="s">
        <v>104</v>
      </c>
      <c r="B41" s="7" t="s">
        <v>105</v>
      </c>
      <c r="C41" s="8" t="s">
        <v>25</v>
      </c>
      <c r="D41" s="9" t="n">
        <f aca="false">'Stock Base'!D41-SUMIF('Pegar Despachos'!$C:$C,$B41,'Pegar Despachos'!$D:$D)</f>
        <v>6</v>
      </c>
      <c r="E41" s="10" t="n">
        <f aca="false">'Stock Base'!E41</f>
        <v>9</v>
      </c>
    </row>
    <row r="42" customFormat="false" ht="15" hidden="false" customHeight="false" outlineLevel="0" collapsed="false">
      <c r="A42" s="7" t="s">
        <v>106</v>
      </c>
      <c r="B42" s="7" t="s">
        <v>107</v>
      </c>
      <c r="C42" s="8" t="s">
        <v>108</v>
      </c>
      <c r="D42" s="9" t="n">
        <f aca="false">'Stock Base'!D42-SUMIF('Pegar Despachos'!$C:$C,$B42,'Pegar Despachos'!$D:$D)</f>
        <v>20</v>
      </c>
      <c r="E42" s="10" t="n">
        <f aca="false">'Stock Base'!E42</f>
        <v>0</v>
      </c>
    </row>
    <row r="43" customFormat="false" ht="15" hidden="false" customHeight="false" outlineLevel="0" collapsed="false">
      <c r="A43" s="7" t="s">
        <v>109</v>
      </c>
      <c r="B43" s="7" t="s">
        <v>110</v>
      </c>
      <c r="C43" s="8" t="s">
        <v>25</v>
      </c>
      <c r="D43" s="9" t="n">
        <f aca="false">'Stock Base'!D43-SUMIF('Pegar Despachos'!$C:$C,$B43,'Pegar Despachos'!$D:$D)</f>
        <v>119</v>
      </c>
      <c r="E43" s="10" t="n">
        <f aca="false">'Stock Base'!E43</f>
        <v>0</v>
      </c>
    </row>
    <row r="44" customFormat="false" ht="15" hidden="false" customHeight="false" outlineLevel="0" collapsed="false">
      <c r="A44" s="7" t="s">
        <v>111</v>
      </c>
      <c r="B44" s="7" t="s">
        <v>112</v>
      </c>
      <c r="C44" s="8" t="s">
        <v>25</v>
      </c>
      <c r="D44" s="9" t="n">
        <f aca="false">'Stock Base'!D44-SUMIF('Pegar Despachos'!$C:$C,$B44,'Pegar Despachos'!$D:$D)</f>
        <v>127</v>
      </c>
      <c r="E44" s="10" t="n">
        <f aca="false">'Stock Base'!E44</f>
        <v>0</v>
      </c>
    </row>
    <row r="45" customFormat="false" ht="15" hidden="false" customHeight="false" outlineLevel="0" collapsed="false">
      <c r="A45" s="7" t="s">
        <v>113</v>
      </c>
      <c r="B45" s="7" t="s">
        <v>114</v>
      </c>
      <c r="C45" s="8" t="s">
        <v>25</v>
      </c>
      <c r="D45" s="9" t="n">
        <f aca="false">'Stock Base'!D45-SUMIF('Pegar Despachos'!$C:$C,$B45,'Pegar Despachos'!$D:$D)</f>
        <v>158</v>
      </c>
      <c r="E45" s="10" t="n">
        <f aca="false">'Stock Base'!E45</f>
        <v>0</v>
      </c>
    </row>
    <row r="46" customFormat="false" ht="15" hidden="false" customHeight="false" outlineLevel="0" collapsed="false">
      <c r="A46" s="7" t="s">
        <v>115</v>
      </c>
      <c r="B46" s="7" t="s">
        <v>116</v>
      </c>
      <c r="C46" s="8" t="s">
        <v>25</v>
      </c>
      <c r="D46" s="9" t="n">
        <f aca="false">'Stock Base'!D46-SUMIF('Pegar Despachos'!$C:$C,$B46,'Pegar Despachos'!$D:$D)</f>
        <v>148</v>
      </c>
      <c r="E46" s="10" t="n">
        <f aca="false">'Stock Base'!E46</f>
        <v>0</v>
      </c>
    </row>
    <row r="47" customFormat="false" ht="15" hidden="false" customHeight="false" outlineLevel="0" collapsed="false">
      <c r="A47" s="7" t="s">
        <v>117</v>
      </c>
      <c r="B47" s="7" t="s">
        <v>118</v>
      </c>
      <c r="C47" s="8" t="s">
        <v>25</v>
      </c>
      <c r="D47" s="9" t="n">
        <f aca="false">'Stock Base'!D47-SUMIF('Pegar Despachos'!$C:$C,$B47,'Pegar Despachos'!$D:$D)</f>
        <v>2</v>
      </c>
      <c r="E47" s="10" t="n">
        <f aca="false">'Stock Base'!E47</f>
        <v>0</v>
      </c>
    </row>
    <row r="48" customFormat="false" ht="15" hidden="false" customHeight="false" outlineLevel="0" collapsed="false">
      <c r="A48" s="7" t="s">
        <v>119</v>
      </c>
      <c r="B48" s="7" t="s">
        <v>120</v>
      </c>
      <c r="C48" s="8" t="s">
        <v>25</v>
      </c>
      <c r="D48" s="9" t="n">
        <f aca="false">'Stock Base'!D48-SUMIF('Pegar Despachos'!$C:$C,$B48,'Pegar Despachos'!$D:$D)</f>
        <v>83</v>
      </c>
      <c r="E48" s="10" t="n">
        <f aca="false">'Stock Base'!E48</f>
        <v>6</v>
      </c>
    </row>
    <row r="49" customFormat="false" ht="15" hidden="false" customHeight="false" outlineLevel="0" collapsed="false">
      <c r="A49" s="7" t="s">
        <v>121</v>
      </c>
      <c r="B49" s="7" t="s">
        <v>122</v>
      </c>
      <c r="C49" s="8" t="s">
        <v>25</v>
      </c>
      <c r="D49" s="9" t="n">
        <f aca="false">'Stock Base'!D49-SUMIF('Pegar Despachos'!$C:$C,$B49,'Pegar Despachos'!$D:$D)</f>
        <v>109</v>
      </c>
      <c r="E49" s="10" t="n">
        <f aca="false">'Stock Base'!E49</f>
        <v>7</v>
      </c>
    </row>
    <row r="50" customFormat="false" ht="15" hidden="false" customHeight="false" outlineLevel="0" collapsed="false">
      <c r="A50" s="7" t="s">
        <v>123</v>
      </c>
      <c r="B50" s="7" t="s">
        <v>124</v>
      </c>
      <c r="C50" s="8" t="s">
        <v>25</v>
      </c>
      <c r="D50" s="9" t="n">
        <f aca="false">'Stock Base'!D50-SUMIF('Pegar Despachos'!$C:$C,$B50,'Pegar Despachos'!$D:$D)</f>
        <v>107</v>
      </c>
      <c r="E50" s="10" t="n">
        <f aca="false">'Stock Base'!E50</f>
        <v>6</v>
      </c>
    </row>
    <row r="51" customFormat="false" ht="15" hidden="false" customHeight="false" outlineLevel="0" collapsed="false">
      <c r="A51" s="7" t="s">
        <v>125</v>
      </c>
      <c r="B51" s="7" t="s">
        <v>126</v>
      </c>
      <c r="C51" s="8" t="s">
        <v>25</v>
      </c>
      <c r="D51" s="9" t="n">
        <f aca="false">'Stock Base'!D51-SUMIF('Pegar Despachos'!$C:$C,$B51,'Pegar Despachos'!$D:$D)</f>
        <v>309</v>
      </c>
      <c r="E51" s="10" t="n">
        <f aca="false">'Stock Base'!E51</f>
        <v>19</v>
      </c>
    </row>
    <row r="52" customFormat="false" ht="15" hidden="false" customHeight="false" outlineLevel="0" collapsed="false">
      <c r="A52" s="7" t="s">
        <v>127</v>
      </c>
      <c r="B52" s="7" t="s">
        <v>128</v>
      </c>
      <c r="C52" s="8" t="s">
        <v>25</v>
      </c>
      <c r="D52" s="9" t="n">
        <f aca="false">'Stock Base'!D52-SUMIF('Pegar Despachos'!$C:$C,$B52,'Pegar Despachos'!$D:$D)</f>
        <v>9</v>
      </c>
      <c r="E52" s="10" t="n">
        <f aca="false">'Stock Base'!E52</f>
        <v>0</v>
      </c>
    </row>
    <row r="53" customFormat="false" ht="15" hidden="false" customHeight="false" outlineLevel="0" collapsed="false">
      <c r="A53" s="7" t="s">
        <v>129</v>
      </c>
      <c r="B53" s="7" t="s">
        <v>130</v>
      </c>
      <c r="C53" s="8" t="s">
        <v>25</v>
      </c>
      <c r="D53" s="9" t="n">
        <f aca="false">'Stock Base'!D53-SUMIF('Pegar Despachos'!$C:$C,$B53,'Pegar Despachos'!$D:$D)</f>
        <v>1261</v>
      </c>
      <c r="E53" s="10" t="n">
        <f aca="false">'Stock Base'!E53</f>
        <v>0</v>
      </c>
    </row>
    <row r="54" customFormat="false" ht="15" hidden="false" customHeight="false" outlineLevel="0" collapsed="false">
      <c r="A54" s="7" t="s">
        <v>131</v>
      </c>
      <c r="B54" s="7" t="s">
        <v>132</v>
      </c>
      <c r="C54" s="8" t="s">
        <v>25</v>
      </c>
      <c r="D54" s="9" t="n">
        <f aca="false">'Stock Base'!D54-SUMIF('Pegar Despachos'!$C:$C,$B54,'Pegar Despachos'!$D:$D)</f>
        <v>1007</v>
      </c>
      <c r="E54" s="10" t="n">
        <f aca="false">'Stock Base'!E54</f>
        <v>0</v>
      </c>
    </row>
    <row r="55" customFormat="false" ht="15" hidden="false" customHeight="false" outlineLevel="0" collapsed="false">
      <c r="A55" s="7" t="s">
        <v>133</v>
      </c>
      <c r="B55" s="7" t="s">
        <v>134</v>
      </c>
      <c r="C55" s="8" t="s">
        <v>25</v>
      </c>
      <c r="D55" s="9" t="n">
        <f aca="false">'Stock Base'!D55-SUMIF('Pegar Despachos'!$C:$C,$B55,'Pegar Despachos'!$D:$D)</f>
        <v>2</v>
      </c>
      <c r="E55" s="10" t="n">
        <f aca="false">'Stock Base'!E55</f>
        <v>0</v>
      </c>
    </row>
    <row r="56" customFormat="false" ht="15" hidden="false" customHeight="false" outlineLevel="0" collapsed="false">
      <c r="A56" s="7" t="s">
        <v>135</v>
      </c>
      <c r="B56" s="7" t="s">
        <v>136</v>
      </c>
      <c r="C56" s="8" t="s">
        <v>25</v>
      </c>
      <c r="D56" s="9" t="n">
        <f aca="false">'Stock Base'!D56-SUMIF('Pegar Despachos'!$C:$C,$B56,'Pegar Despachos'!$D:$D)</f>
        <v>270</v>
      </c>
      <c r="E56" s="10" t="n">
        <f aca="false">'Stock Base'!E56</f>
        <v>0</v>
      </c>
    </row>
    <row r="57" customFormat="false" ht="15" hidden="false" customHeight="false" outlineLevel="0" collapsed="false">
      <c r="A57" s="7" t="s">
        <v>137</v>
      </c>
      <c r="B57" s="7" t="s">
        <v>138</v>
      </c>
      <c r="C57" s="8" t="s">
        <v>25</v>
      </c>
      <c r="D57" s="9" t="n">
        <f aca="false">'Stock Base'!D57-SUMIF('Pegar Despachos'!$C:$C,$B57,'Pegar Despachos'!$D:$D)</f>
        <v>492</v>
      </c>
      <c r="E57" s="10" t="n">
        <f aca="false">'Stock Base'!E57</f>
        <v>0</v>
      </c>
    </row>
  </sheetData>
  <mergeCells count="2">
    <mergeCell ref="G4:H4"/>
    <mergeCell ref="G14:H16"/>
  </mergeCells>
  <conditionalFormatting sqref="D5:D5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139</v>
      </c>
    </row>
    <row r="2" customFormat="false" ht="39.75" hidden="false" customHeight="true" outlineLevel="0" collapsed="false">
      <c r="A2" s="16" t="s">
        <v>140</v>
      </c>
      <c r="B2" s="16"/>
      <c r="C2" s="16"/>
      <c r="D2" s="16"/>
    </row>
    <row r="4" customFormat="false" ht="15" hidden="false" customHeight="false" outlineLevel="0" collapsed="false">
      <c r="A4" s="5" t="s">
        <v>141</v>
      </c>
      <c r="B4" s="5" t="s">
        <v>17</v>
      </c>
      <c r="C4" s="5" t="s">
        <v>18</v>
      </c>
      <c r="D4" s="5" t="s">
        <v>142</v>
      </c>
    </row>
    <row r="5" customFormat="false" ht="15" hidden="false" customHeight="false" outlineLevel="0" collapsed="false">
      <c r="A5" s="17" t="n">
        <v>46246</v>
      </c>
      <c r="B5" s="18" t="s">
        <v>72</v>
      </c>
      <c r="C5" s="18" t="s">
        <v>73</v>
      </c>
      <c r="D5" s="18" t="n">
        <v>137</v>
      </c>
    </row>
    <row r="6" customFormat="false" ht="15" hidden="false" customHeight="false" outlineLevel="0" collapsed="false">
      <c r="A6" s="17" t="n">
        <v>46246</v>
      </c>
      <c r="B6" s="18" t="s">
        <v>23</v>
      </c>
      <c r="C6" s="18" t="s">
        <v>24</v>
      </c>
      <c r="D6" s="18" t="n">
        <v>42</v>
      </c>
    </row>
    <row r="7" customFormat="false" ht="15" hidden="false" customHeight="false" outlineLevel="0" collapsed="false">
      <c r="A7" s="17" t="n">
        <v>46246</v>
      </c>
      <c r="B7" s="18" t="s">
        <v>64</v>
      </c>
      <c r="C7" s="18" t="s">
        <v>65</v>
      </c>
      <c r="D7" s="18" t="n">
        <v>12</v>
      </c>
    </row>
    <row r="8" customFormat="false" ht="15" hidden="false" customHeight="false" outlineLevel="0" collapsed="false">
      <c r="A8" s="17" t="n">
        <v>46246</v>
      </c>
      <c r="B8" s="18" t="s">
        <v>113</v>
      </c>
      <c r="C8" s="18" t="s">
        <v>114</v>
      </c>
      <c r="D8" s="18" t="n">
        <v>30</v>
      </c>
    </row>
    <row r="9" customFormat="false" ht="15" hidden="false" customHeight="false" outlineLevel="0" collapsed="false">
      <c r="A9" s="17" t="n">
        <v>46246</v>
      </c>
      <c r="B9" s="18" t="s">
        <v>137</v>
      </c>
      <c r="C9" s="18" t="s">
        <v>138</v>
      </c>
      <c r="D9" s="18" t="n">
        <v>16</v>
      </c>
    </row>
    <row r="10" customFormat="false" ht="15" hidden="false" customHeight="false" outlineLevel="0" collapsed="false">
      <c r="A10" s="17" t="n">
        <v>46246</v>
      </c>
      <c r="B10" s="18" t="s">
        <v>53</v>
      </c>
      <c r="C10" s="18" t="s">
        <v>54</v>
      </c>
      <c r="D10" s="18" t="n">
        <v>13</v>
      </c>
    </row>
    <row r="11" customFormat="false" ht="15" hidden="false" customHeight="false" outlineLevel="0" collapsed="false">
      <c r="A11" s="17" t="n">
        <v>46246</v>
      </c>
      <c r="B11" s="18" t="s">
        <v>39</v>
      </c>
      <c r="C11" s="18" t="s">
        <v>40</v>
      </c>
      <c r="D11" s="18" t="n">
        <v>4</v>
      </c>
    </row>
    <row r="12" customFormat="false" ht="15" hidden="false" customHeight="false" outlineLevel="0" collapsed="false">
      <c r="A12" s="17" t="n">
        <v>46246</v>
      </c>
      <c r="B12" s="18" t="s">
        <v>42</v>
      </c>
      <c r="C12" s="18" t="s">
        <v>43</v>
      </c>
      <c r="D12" s="18" t="n">
        <v>6</v>
      </c>
    </row>
    <row r="13" customFormat="false" ht="15" hidden="false" customHeight="false" outlineLevel="0" collapsed="false">
      <c r="A13" s="17" t="n">
        <v>46246</v>
      </c>
      <c r="B13" s="18" t="s">
        <v>78</v>
      </c>
      <c r="C13" s="18" t="s">
        <v>79</v>
      </c>
      <c r="D13" s="18" t="n">
        <v>61</v>
      </c>
    </row>
    <row r="14" customFormat="false" ht="15" hidden="false" customHeight="false" outlineLevel="0" collapsed="false">
      <c r="A14" s="17" t="n">
        <v>46246</v>
      </c>
      <c r="B14" s="18" t="s">
        <v>70</v>
      </c>
      <c r="C14" s="18" t="s">
        <v>71</v>
      </c>
      <c r="D14" s="18" t="n">
        <v>41</v>
      </c>
    </row>
    <row r="15" customFormat="false" ht="15" hidden="false" customHeight="false" outlineLevel="0" collapsed="false">
      <c r="A15" s="17" t="n">
        <v>46246</v>
      </c>
      <c r="B15" s="18" t="s">
        <v>57</v>
      </c>
      <c r="C15" s="18" t="s">
        <v>58</v>
      </c>
      <c r="D15" s="18" t="n">
        <v>66</v>
      </c>
    </row>
    <row r="16" customFormat="false" ht="15" hidden="false" customHeight="false" outlineLevel="0" collapsed="false">
      <c r="A16" s="17" t="n">
        <v>46246</v>
      </c>
      <c r="B16" s="18" t="s">
        <v>80</v>
      </c>
      <c r="C16" s="18" t="s">
        <v>81</v>
      </c>
      <c r="D16" s="18" t="n">
        <v>67</v>
      </c>
    </row>
    <row r="17" customFormat="false" ht="15" hidden="false" customHeight="false" outlineLevel="0" collapsed="false">
      <c r="A17" s="17" t="n">
        <v>46246</v>
      </c>
      <c r="B17" s="18" t="s">
        <v>123</v>
      </c>
      <c r="C17" s="18" t="s">
        <v>124</v>
      </c>
      <c r="D17" s="18" t="n">
        <v>16</v>
      </c>
    </row>
    <row r="18" customFormat="false" ht="15" hidden="false" customHeight="false" outlineLevel="0" collapsed="false">
      <c r="A18" s="17" t="n">
        <v>46246</v>
      </c>
      <c r="B18" s="18" t="s">
        <v>125</v>
      </c>
      <c r="C18" s="18" t="s">
        <v>126</v>
      </c>
      <c r="D18" s="18" t="n">
        <v>29</v>
      </c>
    </row>
    <row r="19" customFormat="false" ht="15" hidden="false" customHeight="false" outlineLevel="0" collapsed="false">
      <c r="A19" s="17" t="n">
        <v>46246</v>
      </c>
      <c r="B19" s="18" t="s">
        <v>55</v>
      </c>
      <c r="C19" s="18" t="s">
        <v>56</v>
      </c>
      <c r="D19" s="18" t="n">
        <v>2</v>
      </c>
    </row>
    <row r="20" customFormat="false" ht="15" hidden="false" customHeight="false" outlineLevel="0" collapsed="false">
      <c r="A20" s="17" t="n">
        <v>46246</v>
      </c>
      <c r="B20" s="18" t="s">
        <v>111</v>
      </c>
      <c r="C20" s="18" t="s">
        <v>112</v>
      </c>
      <c r="D20" s="18" t="n">
        <v>4</v>
      </c>
    </row>
    <row r="21" customFormat="false" ht="15" hidden="false" customHeight="false" outlineLevel="0" collapsed="false">
      <c r="A21" s="17" t="n">
        <v>46246</v>
      </c>
      <c r="B21" s="18" t="s">
        <v>96</v>
      </c>
      <c r="C21" s="18" t="s">
        <v>97</v>
      </c>
      <c r="D21" s="18" t="n">
        <v>12</v>
      </c>
    </row>
    <row r="22" customFormat="false" ht="15" hidden="false" customHeight="false" outlineLevel="0" collapsed="false">
      <c r="A22" s="17" t="n">
        <v>46246</v>
      </c>
      <c r="B22" s="18" t="s">
        <v>30</v>
      </c>
      <c r="C22" s="18" t="s">
        <v>31</v>
      </c>
      <c r="D22" s="18" t="n">
        <v>7</v>
      </c>
    </row>
    <row r="23" customFormat="false" ht="15" hidden="false" customHeight="false" outlineLevel="0" collapsed="false">
      <c r="A23" s="17" t="n">
        <v>46246</v>
      </c>
      <c r="B23" s="18" t="s">
        <v>131</v>
      </c>
      <c r="C23" s="18" t="s">
        <v>132</v>
      </c>
      <c r="D23" s="18" t="n">
        <v>4</v>
      </c>
    </row>
    <row r="24" customFormat="false" ht="15" hidden="false" customHeight="false" outlineLevel="0" collapsed="false">
      <c r="A24" s="17" t="n">
        <v>46246</v>
      </c>
      <c r="B24" s="18" t="s">
        <v>115</v>
      </c>
      <c r="C24" s="18" t="s">
        <v>116</v>
      </c>
      <c r="D24" s="18" t="n">
        <v>2</v>
      </c>
    </row>
    <row r="25" customFormat="false" ht="15" hidden="false" customHeight="false" outlineLevel="0" collapsed="false">
      <c r="A25" s="17" t="n">
        <v>46246</v>
      </c>
      <c r="B25" s="18" t="s">
        <v>68</v>
      </c>
      <c r="C25" s="18" t="s">
        <v>69</v>
      </c>
      <c r="D25" s="18" t="n">
        <v>32</v>
      </c>
    </row>
    <row r="26" customFormat="false" ht="15" hidden="false" customHeight="false" outlineLevel="0" collapsed="false">
      <c r="A26" s="17" t="n">
        <v>46246</v>
      </c>
      <c r="B26" s="18" t="s">
        <v>50</v>
      </c>
      <c r="C26" s="18" t="s">
        <v>51</v>
      </c>
      <c r="D26" s="18" t="n">
        <v>7</v>
      </c>
    </row>
    <row r="27" customFormat="false" ht="15" hidden="false" customHeight="false" outlineLevel="0" collapsed="false">
      <c r="A27" s="17" t="n">
        <v>46246</v>
      </c>
      <c r="B27" s="18" t="s">
        <v>45</v>
      </c>
      <c r="C27" s="18" t="s">
        <v>46</v>
      </c>
      <c r="D27" s="18" t="n">
        <v>4</v>
      </c>
    </row>
    <row r="28" customFormat="false" ht="15" hidden="false" customHeight="false" outlineLevel="0" collapsed="false">
      <c r="A28" s="17" t="n">
        <v>46246</v>
      </c>
      <c r="B28" s="18" t="s">
        <v>48</v>
      </c>
      <c r="C28" s="18" t="s">
        <v>49</v>
      </c>
      <c r="D28" s="18" t="n">
        <v>2</v>
      </c>
    </row>
    <row r="29" customFormat="false" ht="15" hidden="false" customHeight="false" outlineLevel="0" collapsed="false">
      <c r="A29" s="17" t="n">
        <v>46246</v>
      </c>
      <c r="B29" s="18" t="s">
        <v>119</v>
      </c>
      <c r="C29" s="18" t="s">
        <v>120</v>
      </c>
      <c r="D29" s="18" t="n">
        <v>2</v>
      </c>
    </row>
    <row r="30" customFormat="false" ht="15" hidden="false" customHeight="false" outlineLevel="0" collapsed="false">
      <c r="A30" s="17" t="n">
        <v>46246</v>
      </c>
      <c r="B30" s="18" t="s">
        <v>26</v>
      </c>
      <c r="C30" s="18" t="s">
        <v>27</v>
      </c>
      <c r="D30" s="18" t="n">
        <v>305</v>
      </c>
    </row>
    <row r="31" customFormat="false" ht="15" hidden="false" customHeight="false" outlineLevel="0" collapsed="false">
      <c r="A31" s="17" t="n">
        <v>46246</v>
      </c>
      <c r="B31" s="18" t="s">
        <v>129</v>
      </c>
      <c r="C31" s="18" t="s">
        <v>130</v>
      </c>
      <c r="D31" s="18" t="n">
        <v>2</v>
      </c>
    </row>
    <row r="32" customFormat="false" ht="15" hidden="false" customHeight="false" outlineLevel="0" collapsed="false">
      <c r="A32" s="17" t="n">
        <v>46246</v>
      </c>
      <c r="B32" s="18" t="s">
        <v>135</v>
      </c>
      <c r="C32" s="18" t="s">
        <v>136</v>
      </c>
      <c r="D32" s="18" t="n">
        <v>2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143</v>
      </c>
    </row>
    <row r="2" customFormat="false" ht="27.75" hidden="false" customHeight="true" outlineLevel="0" collapsed="false">
      <c r="A2" s="16" t="s">
        <v>144</v>
      </c>
      <c r="B2" s="16"/>
      <c r="C2" s="16"/>
      <c r="D2" s="16"/>
      <c r="E2" s="16"/>
    </row>
    <row r="4" customFormat="false" ht="15" hidden="false" customHeight="false" outlineLevel="0" collapsed="false">
      <c r="A4" s="5" t="s">
        <v>17</v>
      </c>
      <c r="B4" s="5" t="s">
        <v>18</v>
      </c>
      <c r="C4" s="5" t="s">
        <v>19</v>
      </c>
      <c r="D4" s="5" t="s">
        <v>145</v>
      </c>
      <c r="E4" s="5" t="s">
        <v>21</v>
      </c>
    </row>
    <row r="5" customFormat="false" ht="15" hidden="false" customHeight="false" outlineLevel="0" collapsed="false">
      <c r="A5" s="7" t="s">
        <v>23</v>
      </c>
      <c r="B5" s="7" t="s">
        <v>24</v>
      </c>
      <c r="C5" s="8" t="s">
        <v>25</v>
      </c>
      <c r="D5" s="19" t="n">
        <v>1475</v>
      </c>
      <c r="E5" s="10" t="n">
        <v>0</v>
      </c>
    </row>
    <row r="6" customFormat="false" ht="15" hidden="false" customHeight="false" outlineLevel="0" collapsed="false">
      <c r="A6" s="7" t="s">
        <v>26</v>
      </c>
      <c r="B6" s="7" t="s">
        <v>27</v>
      </c>
      <c r="C6" s="8" t="s">
        <v>28</v>
      </c>
      <c r="D6" s="19" t="n">
        <v>3121</v>
      </c>
      <c r="E6" s="10" t="n">
        <v>0</v>
      </c>
    </row>
    <row r="7" customFormat="false" ht="15" hidden="false" customHeight="false" outlineLevel="0" collapsed="false">
      <c r="A7" s="7" t="s">
        <v>30</v>
      </c>
      <c r="B7" s="7" t="s">
        <v>31</v>
      </c>
      <c r="C7" s="8" t="s">
        <v>28</v>
      </c>
      <c r="D7" s="19" t="n">
        <v>6794</v>
      </c>
      <c r="E7" s="10" t="n">
        <v>0</v>
      </c>
    </row>
    <row r="8" customFormat="false" ht="15" hidden="false" customHeight="false" outlineLevel="0" collapsed="false">
      <c r="A8" s="7" t="s">
        <v>33</v>
      </c>
      <c r="B8" s="7" t="s">
        <v>34</v>
      </c>
      <c r="C8" s="8" t="s">
        <v>25</v>
      </c>
      <c r="D8" s="19" t="n">
        <v>35</v>
      </c>
      <c r="E8" s="10" t="n">
        <v>0</v>
      </c>
    </row>
    <row r="9" customFormat="false" ht="15" hidden="false" customHeight="false" outlineLevel="0" collapsed="false">
      <c r="A9" s="7" t="s">
        <v>36</v>
      </c>
      <c r="B9" s="7" t="s">
        <v>37</v>
      </c>
      <c r="C9" s="8" t="s">
        <v>28</v>
      </c>
      <c r="D9" s="19" t="n">
        <v>1954</v>
      </c>
      <c r="E9" s="10" t="n">
        <v>0</v>
      </c>
    </row>
    <row r="10" customFormat="false" ht="15" hidden="false" customHeight="false" outlineLevel="0" collapsed="false">
      <c r="A10" s="7" t="s">
        <v>39</v>
      </c>
      <c r="B10" s="7" t="s">
        <v>40</v>
      </c>
      <c r="C10" s="8" t="s">
        <v>25</v>
      </c>
      <c r="D10" s="19" t="n">
        <v>56</v>
      </c>
      <c r="E10" s="10" t="n">
        <v>0</v>
      </c>
    </row>
    <row r="11" customFormat="false" ht="15" hidden="false" customHeight="false" outlineLevel="0" collapsed="false">
      <c r="A11" s="7" t="s">
        <v>42</v>
      </c>
      <c r="B11" s="7" t="s">
        <v>43</v>
      </c>
      <c r="C11" s="8" t="s">
        <v>25</v>
      </c>
      <c r="D11" s="19" t="n">
        <v>98</v>
      </c>
      <c r="E11" s="10" t="n">
        <v>0</v>
      </c>
    </row>
    <row r="12" customFormat="false" ht="15" hidden="false" customHeight="false" outlineLevel="0" collapsed="false">
      <c r="A12" s="7" t="s">
        <v>45</v>
      </c>
      <c r="B12" s="7" t="s">
        <v>46</v>
      </c>
      <c r="C12" s="8" t="s">
        <v>25</v>
      </c>
      <c r="D12" s="19" t="n">
        <v>116</v>
      </c>
      <c r="E12" s="10" t="n">
        <v>0</v>
      </c>
    </row>
    <row r="13" customFormat="false" ht="15" hidden="false" customHeight="false" outlineLevel="0" collapsed="false">
      <c r="A13" s="7" t="s">
        <v>48</v>
      </c>
      <c r="B13" s="7" t="s">
        <v>49</v>
      </c>
      <c r="C13" s="8" t="s">
        <v>25</v>
      </c>
      <c r="D13" s="19" t="n">
        <v>20</v>
      </c>
      <c r="E13" s="10" t="n">
        <v>0</v>
      </c>
    </row>
    <row r="14" customFormat="false" ht="15" hidden="false" customHeight="false" outlineLevel="0" collapsed="false">
      <c r="A14" s="7" t="s">
        <v>50</v>
      </c>
      <c r="B14" s="7" t="s">
        <v>51</v>
      </c>
      <c r="C14" s="8" t="s">
        <v>25</v>
      </c>
      <c r="D14" s="19" t="n">
        <v>189</v>
      </c>
      <c r="E14" s="10" t="n">
        <v>0</v>
      </c>
    </row>
    <row r="15" customFormat="false" ht="15" hidden="false" customHeight="false" outlineLevel="0" collapsed="false">
      <c r="A15" s="7" t="s">
        <v>53</v>
      </c>
      <c r="B15" s="7" t="s">
        <v>54</v>
      </c>
      <c r="C15" s="8" t="s">
        <v>25</v>
      </c>
      <c r="D15" s="19" t="n">
        <v>142</v>
      </c>
      <c r="E15" s="10" t="n">
        <v>0</v>
      </c>
    </row>
    <row r="16" customFormat="false" ht="15" hidden="false" customHeight="false" outlineLevel="0" collapsed="false">
      <c r="A16" s="7" t="s">
        <v>55</v>
      </c>
      <c r="B16" s="7" t="s">
        <v>56</v>
      </c>
      <c r="C16" s="8" t="s">
        <v>25</v>
      </c>
      <c r="D16" s="19" t="n">
        <v>29</v>
      </c>
      <c r="E16" s="10" t="n">
        <v>0</v>
      </c>
    </row>
    <row r="17" customFormat="false" ht="15" hidden="false" customHeight="false" outlineLevel="0" collapsed="false">
      <c r="A17" s="7" t="s">
        <v>57</v>
      </c>
      <c r="B17" s="7" t="s">
        <v>58</v>
      </c>
      <c r="C17" s="8" t="s">
        <v>25</v>
      </c>
      <c r="D17" s="19" t="n">
        <v>200</v>
      </c>
      <c r="E17" s="10" t="n">
        <v>0</v>
      </c>
    </row>
    <row r="18" customFormat="false" ht="15" hidden="false" customHeight="false" outlineLevel="0" collapsed="false">
      <c r="A18" s="7" t="s">
        <v>59</v>
      </c>
      <c r="B18" s="7" t="s">
        <v>60</v>
      </c>
      <c r="C18" s="8" t="s">
        <v>25</v>
      </c>
      <c r="D18" s="19" t="n">
        <v>1</v>
      </c>
      <c r="E18" s="10" t="n">
        <v>0</v>
      </c>
    </row>
    <row r="19" customFormat="false" ht="15" hidden="false" customHeight="false" outlineLevel="0" collapsed="false">
      <c r="A19" s="7" t="s">
        <v>61</v>
      </c>
      <c r="B19" s="7" t="s">
        <v>62</v>
      </c>
      <c r="C19" s="8" t="s">
        <v>25</v>
      </c>
      <c r="D19" s="19" t="n">
        <v>17</v>
      </c>
      <c r="E19" s="10" t="n">
        <v>0</v>
      </c>
    </row>
    <row r="20" customFormat="false" ht="15" hidden="false" customHeight="false" outlineLevel="0" collapsed="false">
      <c r="A20" s="7" t="s">
        <v>61</v>
      </c>
      <c r="B20" s="7" t="s">
        <v>63</v>
      </c>
      <c r="C20" s="8" t="s">
        <v>28</v>
      </c>
      <c r="D20" s="19" t="n">
        <v>2</v>
      </c>
      <c r="E20" s="10" t="n">
        <v>0</v>
      </c>
    </row>
    <row r="21" customFormat="false" ht="15" hidden="false" customHeight="false" outlineLevel="0" collapsed="false">
      <c r="A21" s="7" t="s">
        <v>64</v>
      </c>
      <c r="B21" s="7" t="s">
        <v>65</v>
      </c>
      <c r="C21" s="8" t="s">
        <v>28</v>
      </c>
      <c r="D21" s="19" t="n">
        <v>15921</v>
      </c>
      <c r="E21" s="10" t="n">
        <v>0</v>
      </c>
    </row>
    <row r="22" customFormat="false" ht="15" hidden="false" customHeight="false" outlineLevel="0" collapsed="false">
      <c r="A22" s="7" t="s">
        <v>66</v>
      </c>
      <c r="B22" s="7" t="s">
        <v>67</v>
      </c>
      <c r="C22" s="8" t="s">
        <v>25</v>
      </c>
      <c r="D22" s="19" t="n">
        <v>23</v>
      </c>
      <c r="E22" s="10" t="n">
        <v>0</v>
      </c>
    </row>
    <row r="23" customFormat="false" ht="15" hidden="false" customHeight="false" outlineLevel="0" collapsed="false">
      <c r="A23" s="7" t="s">
        <v>68</v>
      </c>
      <c r="B23" s="7" t="s">
        <v>69</v>
      </c>
      <c r="C23" s="8" t="s">
        <v>25</v>
      </c>
      <c r="D23" s="19" t="n">
        <v>2312</v>
      </c>
      <c r="E23" s="10" t="n">
        <v>0</v>
      </c>
    </row>
    <row r="24" customFormat="false" ht="15" hidden="false" customHeight="false" outlineLevel="0" collapsed="false">
      <c r="A24" s="7" t="s">
        <v>70</v>
      </c>
      <c r="B24" s="7" t="s">
        <v>71</v>
      </c>
      <c r="C24" s="8" t="s">
        <v>25</v>
      </c>
      <c r="D24" s="19" t="n">
        <v>1999</v>
      </c>
      <c r="E24" s="10" t="n">
        <v>0</v>
      </c>
    </row>
    <row r="25" customFormat="false" ht="15" hidden="false" customHeight="false" outlineLevel="0" collapsed="false">
      <c r="A25" s="7" t="s">
        <v>72</v>
      </c>
      <c r="B25" s="7" t="s">
        <v>73</v>
      </c>
      <c r="C25" s="8" t="s">
        <v>25</v>
      </c>
      <c r="D25" s="19" t="n">
        <v>2768</v>
      </c>
      <c r="E25" s="10" t="n">
        <v>0</v>
      </c>
    </row>
    <row r="26" customFormat="false" ht="15" hidden="false" customHeight="false" outlineLevel="0" collapsed="false">
      <c r="A26" s="7" t="s">
        <v>74</v>
      </c>
      <c r="B26" s="7" t="s">
        <v>75</v>
      </c>
      <c r="C26" s="8" t="s">
        <v>25</v>
      </c>
      <c r="D26" s="19" t="n">
        <v>196</v>
      </c>
      <c r="E26" s="10" t="n">
        <v>0</v>
      </c>
    </row>
    <row r="27" customFormat="false" ht="15" hidden="false" customHeight="false" outlineLevel="0" collapsed="false">
      <c r="A27" s="7" t="s">
        <v>76</v>
      </c>
      <c r="B27" s="7" t="s">
        <v>77</v>
      </c>
      <c r="C27" s="8" t="s">
        <v>25</v>
      </c>
      <c r="D27" s="19" t="n">
        <v>58</v>
      </c>
      <c r="E27" s="10" t="n">
        <v>0</v>
      </c>
    </row>
    <row r="28" customFormat="false" ht="15" hidden="false" customHeight="false" outlineLevel="0" collapsed="false">
      <c r="A28" s="7" t="s">
        <v>78</v>
      </c>
      <c r="B28" s="7" t="s">
        <v>79</v>
      </c>
      <c r="C28" s="8" t="s">
        <v>25</v>
      </c>
      <c r="D28" s="19" t="n">
        <v>389</v>
      </c>
      <c r="E28" s="10" t="n">
        <v>0</v>
      </c>
    </row>
    <row r="29" customFormat="false" ht="15" hidden="false" customHeight="false" outlineLevel="0" collapsed="false">
      <c r="A29" s="7" t="s">
        <v>80</v>
      </c>
      <c r="B29" s="7" t="s">
        <v>81</v>
      </c>
      <c r="C29" s="8" t="s">
        <v>25</v>
      </c>
      <c r="D29" s="19" t="n">
        <v>228</v>
      </c>
      <c r="E29" s="10" t="n">
        <v>2</v>
      </c>
    </row>
    <row r="30" customFormat="false" ht="15" hidden="false" customHeight="false" outlineLevel="0" collapsed="false">
      <c r="A30" s="7" t="s">
        <v>82</v>
      </c>
      <c r="B30" s="7" t="s">
        <v>83</v>
      </c>
      <c r="C30" s="8" t="s">
        <v>25</v>
      </c>
      <c r="D30" s="19" t="n">
        <v>2</v>
      </c>
      <c r="E30" s="10" t="n">
        <v>0</v>
      </c>
    </row>
    <row r="31" customFormat="false" ht="15" hidden="false" customHeight="false" outlineLevel="0" collapsed="false">
      <c r="A31" s="7" t="s">
        <v>84</v>
      </c>
      <c r="B31" s="7" t="s">
        <v>85</v>
      </c>
      <c r="C31" s="8" t="s">
        <v>25</v>
      </c>
      <c r="D31" s="19" t="n">
        <v>20</v>
      </c>
      <c r="E31" s="10" t="n">
        <v>73</v>
      </c>
    </row>
    <row r="32" customFormat="false" ht="15" hidden="false" customHeight="false" outlineLevel="0" collapsed="false">
      <c r="A32" s="7" t="s">
        <v>86</v>
      </c>
      <c r="B32" s="7" t="s">
        <v>87</v>
      </c>
      <c r="C32" s="8" t="s">
        <v>25</v>
      </c>
      <c r="D32" s="19" t="n">
        <v>5</v>
      </c>
      <c r="E32" s="10" t="n">
        <v>4</v>
      </c>
    </row>
    <row r="33" customFormat="false" ht="15" hidden="false" customHeight="false" outlineLevel="0" collapsed="false">
      <c r="A33" s="7" t="s">
        <v>88</v>
      </c>
      <c r="B33" s="7" t="s">
        <v>89</v>
      </c>
      <c r="C33" s="8" t="s">
        <v>25</v>
      </c>
      <c r="D33" s="19" t="n">
        <v>5</v>
      </c>
      <c r="E33" s="10" t="n">
        <v>1</v>
      </c>
    </row>
    <row r="34" customFormat="false" ht="15" hidden="false" customHeight="false" outlineLevel="0" collapsed="false">
      <c r="A34" s="7" t="s">
        <v>90</v>
      </c>
      <c r="B34" s="7" t="s">
        <v>91</v>
      </c>
      <c r="C34" s="8" t="s">
        <v>25</v>
      </c>
      <c r="D34" s="19" t="n">
        <v>309</v>
      </c>
      <c r="E34" s="10" t="n">
        <v>0</v>
      </c>
    </row>
    <row r="35" customFormat="false" ht="15" hidden="false" customHeight="false" outlineLevel="0" collapsed="false">
      <c r="A35" s="7" t="s">
        <v>92</v>
      </c>
      <c r="B35" s="7" t="s">
        <v>93</v>
      </c>
      <c r="C35" s="8" t="s">
        <v>25</v>
      </c>
      <c r="D35" s="19" t="n">
        <v>136</v>
      </c>
      <c r="E35" s="10" t="n">
        <v>0</v>
      </c>
    </row>
    <row r="36" customFormat="false" ht="15" hidden="false" customHeight="false" outlineLevel="0" collapsed="false">
      <c r="A36" s="7" t="s">
        <v>94</v>
      </c>
      <c r="B36" s="7" t="s">
        <v>95</v>
      </c>
      <c r="C36" s="8" t="s">
        <v>25</v>
      </c>
      <c r="D36" s="19" t="n">
        <v>29</v>
      </c>
      <c r="E36" s="10" t="n">
        <v>3</v>
      </c>
    </row>
    <row r="37" customFormat="false" ht="15" hidden="false" customHeight="false" outlineLevel="0" collapsed="false">
      <c r="A37" s="7" t="s">
        <v>96</v>
      </c>
      <c r="B37" s="7" t="s">
        <v>97</v>
      </c>
      <c r="C37" s="8" t="s">
        <v>25</v>
      </c>
      <c r="D37" s="19" t="n">
        <v>43</v>
      </c>
      <c r="E37" s="10" t="n">
        <v>15</v>
      </c>
    </row>
    <row r="38" customFormat="false" ht="15" hidden="false" customHeight="false" outlineLevel="0" collapsed="false">
      <c r="A38" s="7" t="s">
        <v>98</v>
      </c>
      <c r="B38" s="7" t="s">
        <v>99</v>
      </c>
      <c r="C38" s="8" t="s">
        <v>25</v>
      </c>
      <c r="D38" s="19" t="n">
        <v>1</v>
      </c>
      <c r="E38" s="10" t="n">
        <v>4</v>
      </c>
    </row>
    <row r="39" customFormat="false" ht="15" hidden="false" customHeight="false" outlineLevel="0" collapsed="false">
      <c r="A39" s="7" t="s">
        <v>100</v>
      </c>
      <c r="B39" s="7" t="s">
        <v>101</v>
      </c>
      <c r="C39" s="8" t="s">
        <v>25</v>
      </c>
      <c r="D39" s="19" t="n">
        <v>114</v>
      </c>
      <c r="E39" s="10" t="n">
        <v>13</v>
      </c>
    </row>
    <row r="40" customFormat="false" ht="15" hidden="false" customHeight="false" outlineLevel="0" collapsed="false">
      <c r="A40" s="7" t="s">
        <v>102</v>
      </c>
      <c r="B40" s="7" t="s">
        <v>103</v>
      </c>
      <c r="C40" s="8" t="s">
        <v>25</v>
      </c>
      <c r="D40" s="19" t="n">
        <v>43</v>
      </c>
      <c r="E40" s="10" t="n">
        <v>10</v>
      </c>
    </row>
    <row r="41" customFormat="false" ht="15" hidden="false" customHeight="false" outlineLevel="0" collapsed="false">
      <c r="A41" s="7" t="s">
        <v>104</v>
      </c>
      <c r="B41" s="7" t="s">
        <v>105</v>
      </c>
      <c r="C41" s="8" t="s">
        <v>25</v>
      </c>
      <c r="D41" s="19" t="n">
        <v>6</v>
      </c>
      <c r="E41" s="10" t="n">
        <v>9</v>
      </c>
    </row>
    <row r="42" customFormat="false" ht="15" hidden="false" customHeight="false" outlineLevel="0" collapsed="false">
      <c r="A42" s="7" t="s">
        <v>106</v>
      </c>
      <c r="B42" s="7" t="s">
        <v>107</v>
      </c>
      <c r="C42" s="8" t="s">
        <v>108</v>
      </c>
      <c r="D42" s="19" t="n">
        <v>20</v>
      </c>
      <c r="E42" s="10" t="n">
        <v>0</v>
      </c>
    </row>
    <row r="43" customFormat="false" ht="15" hidden="false" customHeight="false" outlineLevel="0" collapsed="false">
      <c r="A43" s="7" t="s">
        <v>109</v>
      </c>
      <c r="B43" s="7" t="s">
        <v>110</v>
      </c>
      <c r="C43" s="8" t="s">
        <v>25</v>
      </c>
      <c r="D43" s="19" t="n">
        <v>119</v>
      </c>
      <c r="E43" s="10" t="n">
        <v>0</v>
      </c>
    </row>
    <row r="44" customFormat="false" ht="15" hidden="false" customHeight="false" outlineLevel="0" collapsed="false">
      <c r="A44" s="7" t="s">
        <v>111</v>
      </c>
      <c r="B44" s="7" t="s">
        <v>112</v>
      </c>
      <c r="C44" s="8" t="s">
        <v>25</v>
      </c>
      <c r="D44" s="19" t="n">
        <v>131</v>
      </c>
      <c r="E44" s="10" t="n">
        <v>0</v>
      </c>
    </row>
    <row r="45" customFormat="false" ht="15" hidden="false" customHeight="false" outlineLevel="0" collapsed="false">
      <c r="A45" s="7" t="s">
        <v>113</v>
      </c>
      <c r="B45" s="7" t="s">
        <v>114</v>
      </c>
      <c r="C45" s="8" t="s">
        <v>25</v>
      </c>
      <c r="D45" s="19" t="n">
        <v>188</v>
      </c>
      <c r="E45" s="10" t="n">
        <v>0</v>
      </c>
    </row>
    <row r="46" customFormat="false" ht="15" hidden="false" customHeight="false" outlineLevel="0" collapsed="false">
      <c r="A46" s="7" t="s">
        <v>115</v>
      </c>
      <c r="B46" s="7" t="s">
        <v>116</v>
      </c>
      <c r="C46" s="8" t="s">
        <v>25</v>
      </c>
      <c r="D46" s="19" t="n">
        <v>150</v>
      </c>
      <c r="E46" s="10" t="n">
        <v>0</v>
      </c>
    </row>
    <row r="47" customFormat="false" ht="15" hidden="false" customHeight="false" outlineLevel="0" collapsed="false">
      <c r="A47" s="7" t="s">
        <v>117</v>
      </c>
      <c r="B47" s="7" t="s">
        <v>118</v>
      </c>
      <c r="C47" s="8" t="s">
        <v>25</v>
      </c>
      <c r="D47" s="19" t="n">
        <v>2</v>
      </c>
      <c r="E47" s="10" t="n">
        <v>0</v>
      </c>
    </row>
    <row r="48" customFormat="false" ht="15" hidden="false" customHeight="false" outlineLevel="0" collapsed="false">
      <c r="A48" s="7" t="s">
        <v>119</v>
      </c>
      <c r="B48" s="7" t="s">
        <v>120</v>
      </c>
      <c r="C48" s="8" t="s">
        <v>25</v>
      </c>
      <c r="D48" s="19" t="n">
        <v>85</v>
      </c>
      <c r="E48" s="10" t="n">
        <v>6</v>
      </c>
    </row>
    <row r="49" customFormat="false" ht="15" hidden="false" customHeight="false" outlineLevel="0" collapsed="false">
      <c r="A49" s="7" t="s">
        <v>121</v>
      </c>
      <c r="B49" s="7" t="s">
        <v>122</v>
      </c>
      <c r="C49" s="8" t="s">
        <v>25</v>
      </c>
      <c r="D49" s="19" t="n">
        <v>109</v>
      </c>
      <c r="E49" s="10" t="n">
        <v>7</v>
      </c>
    </row>
    <row r="50" customFormat="false" ht="15" hidden="false" customHeight="false" outlineLevel="0" collapsed="false">
      <c r="A50" s="7" t="s">
        <v>123</v>
      </c>
      <c r="B50" s="7" t="s">
        <v>124</v>
      </c>
      <c r="C50" s="8" t="s">
        <v>25</v>
      </c>
      <c r="D50" s="19" t="n">
        <v>123</v>
      </c>
      <c r="E50" s="10" t="n">
        <v>6</v>
      </c>
    </row>
    <row r="51" customFormat="false" ht="15" hidden="false" customHeight="false" outlineLevel="0" collapsed="false">
      <c r="A51" s="7" t="s">
        <v>125</v>
      </c>
      <c r="B51" s="7" t="s">
        <v>126</v>
      </c>
      <c r="C51" s="8" t="s">
        <v>25</v>
      </c>
      <c r="D51" s="19" t="n">
        <v>338</v>
      </c>
      <c r="E51" s="10" t="n">
        <v>19</v>
      </c>
    </row>
    <row r="52" customFormat="false" ht="15" hidden="false" customHeight="false" outlineLevel="0" collapsed="false">
      <c r="A52" s="7" t="s">
        <v>127</v>
      </c>
      <c r="B52" s="7" t="s">
        <v>128</v>
      </c>
      <c r="C52" s="8" t="s">
        <v>25</v>
      </c>
      <c r="D52" s="19" t="n">
        <v>9</v>
      </c>
      <c r="E52" s="10" t="n">
        <v>0</v>
      </c>
    </row>
    <row r="53" customFormat="false" ht="15" hidden="false" customHeight="false" outlineLevel="0" collapsed="false">
      <c r="A53" s="7" t="s">
        <v>129</v>
      </c>
      <c r="B53" s="7" t="s">
        <v>130</v>
      </c>
      <c r="C53" s="8" t="s">
        <v>25</v>
      </c>
      <c r="D53" s="19" t="n">
        <v>1263</v>
      </c>
      <c r="E53" s="10" t="n">
        <v>0</v>
      </c>
    </row>
    <row r="54" customFormat="false" ht="15" hidden="false" customHeight="false" outlineLevel="0" collapsed="false">
      <c r="A54" s="7" t="s">
        <v>131</v>
      </c>
      <c r="B54" s="7" t="s">
        <v>132</v>
      </c>
      <c r="C54" s="8" t="s">
        <v>25</v>
      </c>
      <c r="D54" s="19" t="n">
        <v>1011</v>
      </c>
      <c r="E54" s="10" t="n">
        <v>0</v>
      </c>
    </row>
    <row r="55" customFormat="false" ht="15" hidden="false" customHeight="false" outlineLevel="0" collapsed="false">
      <c r="A55" s="7" t="s">
        <v>133</v>
      </c>
      <c r="B55" s="7" t="s">
        <v>134</v>
      </c>
      <c r="C55" s="8" t="s">
        <v>25</v>
      </c>
      <c r="D55" s="19" t="n">
        <v>2</v>
      </c>
      <c r="E55" s="10" t="n">
        <v>0</v>
      </c>
    </row>
    <row r="56" customFormat="false" ht="15" hidden="false" customHeight="false" outlineLevel="0" collapsed="false">
      <c r="A56" s="7" t="s">
        <v>135</v>
      </c>
      <c r="B56" s="7" t="s">
        <v>136</v>
      </c>
      <c r="C56" s="8" t="s">
        <v>25</v>
      </c>
      <c r="D56" s="19" t="n">
        <v>272</v>
      </c>
      <c r="E56" s="10" t="n">
        <v>0</v>
      </c>
    </row>
    <row r="57" customFormat="false" ht="15" hidden="false" customHeight="false" outlineLevel="0" collapsed="false">
      <c r="A57" s="7" t="s">
        <v>137</v>
      </c>
      <c r="B57" s="7" t="s">
        <v>138</v>
      </c>
      <c r="C57" s="8" t="s">
        <v>25</v>
      </c>
      <c r="D57" s="19" t="n">
        <v>508</v>
      </c>
      <c r="E57" s="10" t="n">
        <v>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20"/>
  </cols>
  <sheetData>
    <row r="1" customFormat="false" ht="17.35" hidden="false" customHeight="false" outlineLevel="0" collapsed="false">
      <c r="A1" s="1" t="s">
        <v>146</v>
      </c>
    </row>
    <row r="2" customFormat="false" ht="42" hidden="false" customHeight="true" outlineLevel="0" collapsed="false">
      <c r="A2" s="16" t="s">
        <v>147</v>
      </c>
      <c r="B2" s="16"/>
      <c r="C2" s="16"/>
      <c r="D2" s="16"/>
      <c r="E2" s="16"/>
    </row>
    <row r="4" customFormat="false" ht="15" hidden="false" customHeight="false" outlineLevel="0" collapsed="false">
      <c r="A4" s="20" t="s">
        <v>148</v>
      </c>
      <c r="B4" s="20"/>
      <c r="C4" s="20"/>
      <c r="D4" s="20"/>
      <c r="E4" s="20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149</v>
      </c>
      <c r="D5" s="5" t="s">
        <v>150</v>
      </c>
      <c r="E5" s="5" t="s">
        <v>151</v>
      </c>
    </row>
    <row r="6" customFormat="false" ht="15" hidden="false" customHeight="false" outlineLevel="0" collapsed="false">
      <c r="A6" s="18" t="s">
        <v>80</v>
      </c>
      <c r="B6" s="18" t="s">
        <v>81</v>
      </c>
      <c r="C6" s="18" t="s">
        <v>152</v>
      </c>
    </row>
    <row r="7" customFormat="false" ht="15" hidden="false" customHeight="false" outlineLevel="0" collapsed="false">
      <c r="A7" s="18" t="s">
        <v>80</v>
      </c>
      <c r="B7" s="18" t="s">
        <v>81</v>
      </c>
      <c r="C7" s="18" t="s">
        <v>153</v>
      </c>
    </row>
    <row r="8" customFormat="false" ht="15" hidden="false" customHeight="false" outlineLevel="0" collapsed="false">
      <c r="A8" s="18" t="s">
        <v>80</v>
      </c>
      <c r="B8" s="18" t="s">
        <v>81</v>
      </c>
      <c r="C8" s="18" t="s">
        <v>154</v>
      </c>
    </row>
    <row r="9" customFormat="false" ht="15" hidden="false" customHeight="false" outlineLevel="0" collapsed="false">
      <c r="A9" s="18" t="s">
        <v>80</v>
      </c>
      <c r="B9" s="18" t="s">
        <v>81</v>
      </c>
      <c r="C9" s="18" t="s">
        <v>155</v>
      </c>
    </row>
    <row r="10" customFormat="false" ht="15" hidden="false" customHeight="false" outlineLevel="0" collapsed="false">
      <c r="A10" s="18" t="s">
        <v>80</v>
      </c>
      <c r="B10" s="18" t="s">
        <v>81</v>
      </c>
      <c r="C10" s="18" t="s">
        <v>156</v>
      </c>
    </row>
    <row r="11" customFormat="false" ht="15" hidden="false" customHeight="false" outlineLevel="0" collapsed="false">
      <c r="A11" s="18" t="s">
        <v>80</v>
      </c>
      <c r="B11" s="18" t="s">
        <v>81</v>
      </c>
      <c r="C11" s="18" t="s">
        <v>157</v>
      </c>
    </row>
    <row r="12" customFormat="false" ht="15" hidden="false" customHeight="false" outlineLevel="0" collapsed="false">
      <c r="A12" s="18" t="s">
        <v>80</v>
      </c>
      <c r="B12" s="18" t="s">
        <v>81</v>
      </c>
      <c r="C12" s="18" t="s">
        <v>158</v>
      </c>
    </row>
    <row r="13" customFormat="false" ht="15" hidden="false" customHeight="false" outlineLevel="0" collapsed="false">
      <c r="A13" s="18" t="s">
        <v>80</v>
      </c>
      <c r="B13" s="18" t="s">
        <v>81</v>
      </c>
      <c r="C13" s="18" t="s">
        <v>159</v>
      </c>
    </row>
    <row r="14" customFormat="false" ht="15" hidden="false" customHeight="false" outlineLevel="0" collapsed="false">
      <c r="A14" s="18" t="s">
        <v>80</v>
      </c>
      <c r="B14" s="18" t="s">
        <v>81</v>
      </c>
      <c r="C14" s="18" t="s">
        <v>160</v>
      </c>
    </row>
    <row r="15" customFormat="false" ht="15" hidden="false" customHeight="false" outlineLevel="0" collapsed="false">
      <c r="A15" s="18" t="s">
        <v>80</v>
      </c>
      <c r="B15" s="18" t="s">
        <v>81</v>
      </c>
      <c r="C15" s="18" t="s">
        <v>161</v>
      </c>
    </row>
    <row r="16" customFormat="false" ht="15" hidden="false" customHeight="false" outlineLevel="0" collapsed="false">
      <c r="A16" s="18" t="s">
        <v>80</v>
      </c>
      <c r="B16" s="18" t="s">
        <v>81</v>
      </c>
      <c r="C16" s="18" t="s">
        <v>162</v>
      </c>
    </row>
    <row r="17" customFormat="false" ht="15" hidden="false" customHeight="false" outlineLevel="0" collapsed="false">
      <c r="A17" s="18" t="s">
        <v>80</v>
      </c>
      <c r="B17" s="18" t="s">
        <v>81</v>
      </c>
      <c r="C17" s="18" t="s">
        <v>163</v>
      </c>
    </row>
    <row r="18" customFormat="false" ht="15" hidden="false" customHeight="false" outlineLevel="0" collapsed="false">
      <c r="A18" s="18" t="s">
        <v>80</v>
      </c>
      <c r="B18" s="18" t="s">
        <v>81</v>
      </c>
      <c r="C18" s="18" t="s">
        <v>164</v>
      </c>
    </row>
    <row r="19" customFormat="false" ht="15" hidden="false" customHeight="false" outlineLevel="0" collapsed="false">
      <c r="A19" s="18" t="s">
        <v>80</v>
      </c>
      <c r="B19" s="18" t="s">
        <v>81</v>
      </c>
      <c r="C19" s="18" t="s">
        <v>165</v>
      </c>
    </row>
    <row r="20" customFormat="false" ht="15" hidden="false" customHeight="false" outlineLevel="0" collapsed="false">
      <c r="A20" s="18" t="s">
        <v>80</v>
      </c>
      <c r="B20" s="18" t="s">
        <v>81</v>
      </c>
      <c r="C20" s="18" t="s">
        <v>166</v>
      </c>
    </row>
    <row r="21" customFormat="false" ht="15" hidden="false" customHeight="false" outlineLevel="0" collapsed="false">
      <c r="A21" s="18" t="s">
        <v>80</v>
      </c>
      <c r="B21" s="18" t="s">
        <v>81</v>
      </c>
      <c r="C21" s="18" t="s">
        <v>167</v>
      </c>
    </row>
    <row r="22" customFormat="false" ht="15" hidden="false" customHeight="false" outlineLevel="0" collapsed="false">
      <c r="A22" s="18" t="s">
        <v>80</v>
      </c>
      <c r="B22" s="18" t="s">
        <v>81</v>
      </c>
      <c r="C22" s="18" t="s">
        <v>168</v>
      </c>
    </row>
    <row r="23" customFormat="false" ht="15" hidden="false" customHeight="false" outlineLevel="0" collapsed="false">
      <c r="A23" s="18" t="s">
        <v>80</v>
      </c>
      <c r="B23" s="18" t="s">
        <v>81</v>
      </c>
      <c r="C23" s="18" t="s">
        <v>169</v>
      </c>
    </row>
    <row r="24" customFormat="false" ht="15" hidden="false" customHeight="false" outlineLevel="0" collapsed="false">
      <c r="A24" s="18" t="s">
        <v>80</v>
      </c>
      <c r="B24" s="18" t="s">
        <v>81</v>
      </c>
      <c r="C24" s="18" t="s">
        <v>170</v>
      </c>
    </row>
    <row r="25" customFormat="false" ht="15" hidden="false" customHeight="false" outlineLevel="0" collapsed="false">
      <c r="A25" s="18" t="s">
        <v>80</v>
      </c>
      <c r="B25" s="18" t="s">
        <v>81</v>
      </c>
      <c r="C25" s="18" t="s">
        <v>171</v>
      </c>
    </row>
    <row r="26" customFormat="false" ht="15" hidden="false" customHeight="false" outlineLevel="0" collapsed="false">
      <c r="A26" s="18" t="s">
        <v>80</v>
      </c>
      <c r="B26" s="18" t="s">
        <v>81</v>
      </c>
      <c r="C26" s="18" t="s">
        <v>172</v>
      </c>
    </row>
    <row r="27" customFormat="false" ht="15" hidden="false" customHeight="false" outlineLevel="0" collapsed="false">
      <c r="A27" s="18" t="s">
        <v>80</v>
      </c>
      <c r="B27" s="18" t="s">
        <v>81</v>
      </c>
      <c r="C27" s="18" t="s">
        <v>173</v>
      </c>
    </row>
    <row r="28" customFormat="false" ht="15" hidden="false" customHeight="false" outlineLevel="0" collapsed="false">
      <c r="A28" s="18" t="s">
        <v>80</v>
      </c>
      <c r="B28" s="18" t="s">
        <v>81</v>
      </c>
      <c r="C28" s="18" t="s">
        <v>174</v>
      </c>
    </row>
    <row r="29" customFormat="false" ht="15" hidden="false" customHeight="false" outlineLevel="0" collapsed="false">
      <c r="A29" s="18" t="s">
        <v>80</v>
      </c>
      <c r="B29" s="18" t="s">
        <v>81</v>
      </c>
      <c r="C29" s="18" t="s">
        <v>175</v>
      </c>
    </row>
    <row r="30" customFormat="false" ht="15" hidden="false" customHeight="false" outlineLevel="0" collapsed="false">
      <c r="A30" s="18" t="s">
        <v>80</v>
      </c>
      <c r="B30" s="18" t="s">
        <v>81</v>
      </c>
      <c r="C30" s="18" t="s">
        <v>176</v>
      </c>
    </row>
    <row r="31" customFormat="false" ht="15" hidden="false" customHeight="false" outlineLevel="0" collapsed="false">
      <c r="A31" s="18" t="s">
        <v>80</v>
      </c>
      <c r="B31" s="18" t="s">
        <v>81</v>
      </c>
      <c r="C31" s="18" t="s">
        <v>177</v>
      </c>
    </row>
    <row r="32" customFormat="false" ht="15" hidden="false" customHeight="false" outlineLevel="0" collapsed="false">
      <c r="A32" s="18" t="s">
        <v>80</v>
      </c>
      <c r="B32" s="18" t="s">
        <v>81</v>
      </c>
      <c r="C32" s="18" t="s">
        <v>178</v>
      </c>
    </row>
    <row r="33" customFormat="false" ht="15" hidden="false" customHeight="false" outlineLevel="0" collapsed="false">
      <c r="A33" s="18" t="s">
        <v>80</v>
      </c>
      <c r="B33" s="18" t="s">
        <v>81</v>
      </c>
      <c r="C33" s="18" t="s">
        <v>179</v>
      </c>
    </row>
    <row r="34" customFormat="false" ht="15" hidden="false" customHeight="false" outlineLevel="0" collapsed="false">
      <c r="A34" s="18" t="s">
        <v>80</v>
      </c>
      <c r="B34" s="18" t="s">
        <v>81</v>
      </c>
      <c r="C34" s="18" t="s">
        <v>180</v>
      </c>
    </row>
    <row r="35" customFormat="false" ht="15" hidden="false" customHeight="false" outlineLevel="0" collapsed="false">
      <c r="A35" s="18" t="s">
        <v>80</v>
      </c>
      <c r="B35" s="18" t="s">
        <v>81</v>
      </c>
      <c r="C35" s="18" t="s">
        <v>181</v>
      </c>
    </row>
    <row r="36" customFormat="false" ht="15" hidden="false" customHeight="false" outlineLevel="0" collapsed="false">
      <c r="A36" s="18" t="s">
        <v>80</v>
      </c>
      <c r="B36" s="18" t="s">
        <v>81</v>
      </c>
      <c r="C36" s="18" t="s">
        <v>182</v>
      </c>
    </row>
    <row r="37" customFormat="false" ht="15" hidden="false" customHeight="false" outlineLevel="0" collapsed="false">
      <c r="A37" s="18" t="s">
        <v>80</v>
      </c>
      <c r="B37" s="18" t="s">
        <v>81</v>
      </c>
      <c r="C37" s="18" t="s">
        <v>183</v>
      </c>
    </row>
    <row r="38" customFormat="false" ht="15" hidden="false" customHeight="false" outlineLevel="0" collapsed="false">
      <c r="A38" s="18" t="s">
        <v>80</v>
      </c>
      <c r="B38" s="18" t="s">
        <v>81</v>
      </c>
      <c r="C38" s="18" t="s">
        <v>184</v>
      </c>
    </row>
    <row r="39" customFormat="false" ht="15" hidden="false" customHeight="false" outlineLevel="0" collapsed="false">
      <c r="A39" s="18" t="s">
        <v>80</v>
      </c>
      <c r="B39" s="18" t="s">
        <v>81</v>
      </c>
      <c r="C39" s="18" t="s">
        <v>185</v>
      </c>
    </row>
    <row r="40" customFormat="false" ht="15" hidden="false" customHeight="false" outlineLevel="0" collapsed="false">
      <c r="A40" s="18" t="s">
        <v>80</v>
      </c>
      <c r="B40" s="18" t="s">
        <v>81</v>
      </c>
      <c r="C40" s="18" t="s">
        <v>186</v>
      </c>
    </row>
    <row r="41" customFormat="false" ht="15" hidden="false" customHeight="false" outlineLevel="0" collapsed="false">
      <c r="A41" s="18" t="s">
        <v>80</v>
      </c>
      <c r="B41" s="18" t="s">
        <v>81</v>
      </c>
      <c r="C41" s="18" t="s">
        <v>187</v>
      </c>
    </row>
    <row r="42" customFormat="false" ht="15" hidden="false" customHeight="false" outlineLevel="0" collapsed="false">
      <c r="A42" s="18" t="s">
        <v>80</v>
      </c>
      <c r="B42" s="18" t="s">
        <v>81</v>
      </c>
      <c r="C42" s="18" t="s">
        <v>188</v>
      </c>
    </row>
    <row r="43" customFormat="false" ht="15" hidden="false" customHeight="false" outlineLevel="0" collapsed="false">
      <c r="A43" s="18" t="s">
        <v>80</v>
      </c>
      <c r="B43" s="18" t="s">
        <v>81</v>
      </c>
      <c r="C43" s="18" t="s">
        <v>189</v>
      </c>
    </row>
    <row r="44" customFormat="false" ht="15" hidden="false" customHeight="false" outlineLevel="0" collapsed="false">
      <c r="A44" s="18" t="s">
        <v>80</v>
      </c>
      <c r="B44" s="18" t="s">
        <v>81</v>
      </c>
      <c r="C44" s="18" t="s">
        <v>190</v>
      </c>
    </row>
    <row r="45" customFormat="false" ht="15" hidden="false" customHeight="false" outlineLevel="0" collapsed="false">
      <c r="A45" s="18" t="s">
        <v>80</v>
      </c>
      <c r="B45" s="18" t="s">
        <v>81</v>
      </c>
      <c r="C45" s="18" t="s">
        <v>191</v>
      </c>
    </row>
    <row r="46" customFormat="false" ht="15" hidden="false" customHeight="false" outlineLevel="0" collapsed="false">
      <c r="A46" s="18" t="s">
        <v>80</v>
      </c>
      <c r="B46" s="18" t="s">
        <v>81</v>
      </c>
      <c r="C46" s="18" t="s">
        <v>192</v>
      </c>
    </row>
    <row r="47" customFormat="false" ht="15" hidden="false" customHeight="false" outlineLevel="0" collapsed="false">
      <c r="A47" s="18" t="s">
        <v>80</v>
      </c>
      <c r="B47" s="18" t="s">
        <v>81</v>
      </c>
      <c r="C47" s="18" t="s">
        <v>193</v>
      </c>
    </row>
    <row r="48" customFormat="false" ht="15" hidden="false" customHeight="false" outlineLevel="0" collapsed="false">
      <c r="A48" s="18" t="s">
        <v>80</v>
      </c>
      <c r="B48" s="18" t="s">
        <v>81</v>
      </c>
      <c r="C48" s="18" t="s">
        <v>194</v>
      </c>
    </row>
    <row r="49" customFormat="false" ht="15" hidden="false" customHeight="false" outlineLevel="0" collapsed="false">
      <c r="A49" s="18" t="s">
        <v>80</v>
      </c>
      <c r="B49" s="18" t="s">
        <v>81</v>
      </c>
      <c r="C49" s="18" t="s">
        <v>195</v>
      </c>
    </row>
    <row r="50" customFormat="false" ht="15" hidden="false" customHeight="false" outlineLevel="0" collapsed="false">
      <c r="A50" s="18" t="s">
        <v>80</v>
      </c>
      <c r="B50" s="18" t="s">
        <v>81</v>
      </c>
      <c r="C50" s="18" t="s">
        <v>196</v>
      </c>
    </row>
    <row r="51" customFormat="false" ht="15" hidden="false" customHeight="false" outlineLevel="0" collapsed="false">
      <c r="A51" s="18" t="s">
        <v>80</v>
      </c>
      <c r="B51" s="18" t="s">
        <v>81</v>
      </c>
      <c r="C51" s="18" t="s">
        <v>197</v>
      </c>
    </row>
    <row r="52" customFormat="false" ht="15" hidden="false" customHeight="false" outlineLevel="0" collapsed="false">
      <c r="A52" s="18" t="s">
        <v>80</v>
      </c>
      <c r="B52" s="18" t="s">
        <v>81</v>
      </c>
      <c r="C52" s="18" t="s">
        <v>198</v>
      </c>
    </row>
    <row r="53" customFormat="false" ht="15" hidden="false" customHeight="false" outlineLevel="0" collapsed="false">
      <c r="A53" s="18" t="s">
        <v>80</v>
      </c>
      <c r="B53" s="18" t="s">
        <v>81</v>
      </c>
      <c r="C53" s="18" t="s">
        <v>199</v>
      </c>
    </row>
    <row r="54" customFormat="false" ht="15" hidden="false" customHeight="false" outlineLevel="0" collapsed="false">
      <c r="A54" s="18" t="s">
        <v>80</v>
      </c>
      <c r="B54" s="18" t="s">
        <v>81</v>
      </c>
      <c r="C54" s="18" t="s">
        <v>200</v>
      </c>
    </row>
    <row r="55" customFormat="false" ht="15" hidden="false" customHeight="false" outlineLevel="0" collapsed="false">
      <c r="A55" s="18" t="s">
        <v>80</v>
      </c>
      <c r="B55" s="18" t="s">
        <v>81</v>
      </c>
      <c r="C55" s="18" t="s">
        <v>201</v>
      </c>
    </row>
    <row r="56" customFormat="false" ht="15" hidden="false" customHeight="false" outlineLevel="0" collapsed="false">
      <c r="A56" s="18" t="s">
        <v>80</v>
      </c>
      <c r="B56" s="18" t="s">
        <v>81</v>
      </c>
      <c r="C56" s="18" t="s">
        <v>202</v>
      </c>
    </row>
    <row r="57" customFormat="false" ht="15" hidden="false" customHeight="false" outlineLevel="0" collapsed="false">
      <c r="A57" s="18" t="s">
        <v>80</v>
      </c>
      <c r="B57" s="18" t="s">
        <v>81</v>
      </c>
      <c r="C57" s="18" t="s">
        <v>203</v>
      </c>
    </row>
    <row r="58" customFormat="false" ht="15" hidden="false" customHeight="false" outlineLevel="0" collapsed="false">
      <c r="A58" s="18" t="s">
        <v>80</v>
      </c>
      <c r="B58" s="18" t="s">
        <v>81</v>
      </c>
      <c r="C58" s="18" t="s">
        <v>204</v>
      </c>
    </row>
    <row r="59" customFormat="false" ht="15" hidden="false" customHeight="false" outlineLevel="0" collapsed="false">
      <c r="A59" s="18" t="s">
        <v>80</v>
      </c>
      <c r="B59" s="18" t="s">
        <v>81</v>
      </c>
      <c r="C59" s="18" t="s">
        <v>205</v>
      </c>
    </row>
    <row r="60" customFormat="false" ht="15" hidden="false" customHeight="false" outlineLevel="0" collapsed="false">
      <c r="A60" s="18" t="s">
        <v>80</v>
      </c>
      <c r="B60" s="18" t="s">
        <v>81</v>
      </c>
      <c r="C60" s="18" t="s">
        <v>206</v>
      </c>
    </row>
    <row r="61" customFormat="false" ht="15" hidden="false" customHeight="false" outlineLevel="0" collapsed="false">
      <c r="A61" s="18" t="s">
        <v>80</v>
      </c>
      <c r="B61" s="18" t="s">
        <v>81</v>
      </c>
      <c r="C61" s="18" t="s">
        <v>207</v>
      </c>
    </row>
    <row r="62" customFormat="false" ht="15" hidden="false" customHeight="false" outlineLevel="0" collapsed="false">
      <c r="A62" s="18" t="s">
        <v>80</v>
      </c>
      <c r="B62" s="18" t="s">
        <v>81</v>
      </c>
      <c r="C62" s="18" t="s">
        <v>208</v>
      </c>
    </row>
    <row r="63" customFormat="false" ht="15" hidden="false" customHeight="false" outlineLevel="0" collapsed="false">
      <c r="A63" s="18" t="s">
        <v>80</v>
      </c>
      <c r="B63" s="18" t="s">
        <v>81</v>
      </c>
      <c r="C63" s="18" t="s">
        <v>209</v>
      </c>
    </row>
    <row r="64" customFormat="false" ht="15" hidden="false" customHeight="false" outlineLevel="0" collapsed="false">
      <c r="A64" s="18" t="s">
        <v>80</v>
      </c>
      <c r="B64" s="18" t="s">
        <v>81</v>
      </c>
      <c r="C64" s="18" t="s">
        <v>210</v>
      </c>
    </row>
    <row r="65" customFormat="false" ht="15" hidden="false" customHeight="false" outlineLevel="0" collapsed="false">
      <c r="A65" s="18" t="s">
        <v>80</v>
      </c>
      <c r="B65" s="18" t="s">
        <v>81</v>
      </c>
      <c r="C65" s="18" t="s">
        <v>211</v>
      </c>
    </row>
    <row r="66" customFormat="false" ht="15" hidden="false" customHeight="false" outlineLevel="0" collapsed="false">
      <c r="A66" s="18" t="s">
        <v>80</v>
      </c>
      <c r="B66" s="18" t="s">
        <v>81</v>
      </c>
      <c r="C66" s="18" t="s">
        <v>212</v>
      </c>
    </row>
    <row r="67" customFormat="false" ht="15" hidden="false" customHeight="false" outlineLevel="0" collapsed="false">
      <c r="A67" s="18" t="s">
        <v>80</v>
      </c>
      <c r="B67" s="18" t="s">
        <v>81</v>
      </c>
      <c r="C67" s="18" t="s">
        <v>213</v>
      </c>
    </row>
    <row r="68" customFormat="false" ht="15" hidden="false" customHeight="false" outlineLevel="0" collapsed="false">
      <c r="A68" s="18" t="s">
        <v>80</v>
      </c>
      <c r="B68" s="18" t="s">
        <v>81</v>
      </c>
    </row>
    <row r="69" customFormat="false" ht="15" hidden="false" customHeight="false" outlineLevel="0" collapsed="false">
      <c r="A69" s="18" t="s">
        <v>80</v>
      </c>
      <c r="B69" s="18" t="s">
        <v>81</v>
      </c>
    </row>
    <row r="70" customFormat="false" ht="15" hidden="false" customHeight="false" outlineLevel="0" collapsed="false">
      <c r="A70" s="18" t="s">
        <v>80</v>
      </c>
      <c r="B70" s="18" t="s">
        <v>81</v>
      </c>
    </row>
    <row r="71" customFormat="false" ht="15" hidden="false" customHeight="false" outlineLevel="0" collapsed="false">
      <c r="A71" s="18" t="s">
        <v>80</v>
      </c>
      <c r="B71" s="18" t="s">
        <v>81</v>
      </c>
    </row>
    <row r="72" customFormat="false" ht="15" hidden="false" customHeight="false" outlineLevel="0" collapsed="false">
      <c r="A72" s="18" t="s">
        <v>80</v>
      </c>
      <c r="B72" s="18" t="s">
        <v>81</v>
      </c>
    </row>
    <row r="73" customFormat="false" ht="15" hidden="false" customHeight="false" outlineLevel="0" collapsed="false">
      <c r="A73" s="18" t="s">
        <v>80</v>
      </c>
      <c r="B73" s="18" t="s">
        <v>81</v>
      </c>
    </row>
    <row r="74" customFormat="false" ht="15" hidden="false" customHeight="false" outlineLevel="0" collapsed="false">
      <c r="A74" s="18" t="s">
        <v>80</v>
      </c>
      <c r="B74" s="18" t="s">
        <v>81</v>
      </c>
    </row>
    <row r="75" customFormat="false" ht="15" hidden="false" customHeight="false" outlineLevel="0" collapsed="false">
      <c r="A75" s="18" t="s">
        <v>80</v>
      </c>
      <c r="B75" s="18" t="s">
        <v>81</v>
      </c>
    </row>
    <row r="77" customFormat="false" ht="15" hidden="false" customHeight="false" outlineLevel="0" collapsed="false">
      <c r="A77" s="20" t="s">
        <v>214</v>
      </c>
      <c r="B77" s="20"/>
      <c r="C77" s="20"/>
      <c r="D77" s="20"/>
      <c r="E77" s="20"/>
    </row>
    <row r="78" customFormat="false" ht="15" hidden="false" customHeight="false" outlineLevel="0" collapsed="false">
      <c r="A78" s="5" t="s">
        <v>17</v>
      </c>
      <c r="B78" s="5" t="s">
        <v>18</v>
      </c>
      <c r="C78" s="5" t="s">
        <v>149</v>
      </c>
      <c r="D78" s="5" t="s">
        <v>150</v>
      </c>
      <c r="E78" s="5" t="s">
        <v>151</v>
      </c>
    </row>
    <row r="79" customFormat="false" ht="15" hidden="false" customHeight="false" outlineLevel="0" collapsed="false">
      <c r="A79" s="18" t="s">
        <v>82</v>
      </c>
      <c r="B79" s="18" t="s">
        <v>83</v>
      </c>
    </row>
    <row r="80" customFormat="false" ht="15" hidden="false" customHeight="false" outlineLevel="0" collapsed="false">
      <c r="A80" s="18" t="s">
        <v>82</v>
      </c>
      <c r="B80" s="18" t="s">
        <v>83</v>
      </c>
    </row>
    <row r="81" customFormat="false" ht="15" hidden="false" customHeight="false" outlineLevel="0" collapsed="false">
      <c r="A81" s="18" t="s">
        <v>82</v>
      </c>
      <c r="B81" s="18" t="s">
        <v>83</v>
      </c>
    </row>
    <row r="82" customFormat="false" ht="15" hidden="false" customHeight="false" outlineLevel="0" collapsed="false">
      <c r="A82" s="18" t="s">
        <v>82</v>
      </c>
      <c r="B82" s="18" t="s">
        <v>83</v>
      </c>
    </row>
    <row r="83" customFormat="false" ht="15" hidden="false" customHeight="false" outlineLevel="0" collapsed="false">
      <c r="A83" s="18" t="s">
        <v>82</v>
      </c>
      <c r="B83" s="18" t="s">
        <v>83</v>
      </c>
    </row>
    <row r="84" customFormat="false" ht="15" hidden="false" customHeight="false" outlineLevel="0" collapsed="false">
      <c r="A84" s="18" t="s">
        <v>82</v>
      </c>
      <c r="B84" s="18" t="s">
        <v>83</v>
      </c>
    </row>
    <row r="85" customFormat="false" ht="15" hidden="false" customHeight="false" outlineLevel="0" collapsed="false">
      <c r="A85" s="18" t="s">
        <v>82</v>
      </c>
      <c r="B85" s="18" t="s">
        <v>83</v>
      </c>
    </row>
    <row r="86" customFormat="false" ht="15" hidden="false" customHeight="false" outlineLevel="0" collapsed="false">
      <c r="A86" s="18" t="s">
        <v>82</v>
      </c>
      <c r="B86" s="18" t="s">
        <v>83</v>
      </c>
    </row>
    <row r="88" customFormat="false" ht="15" hidden="false" customHeight="false" outlineLevel="0" collapsed="false">
      <c r="A88" s="20" t="s">
        <v>215</v>
      </c>
      <c r="B88" s="20"/>
      <c r="C88" s="20"/>
      <c r="D88" s="20"/>
      <c r="E88" s="20"/>
    </row>
    <row r="89" customFormat="false" ht="15" hidden="false" customHeight="false" outlineLevel="0" collapsed="false">
      <c r="A89" s="5" t="s">
        <v>17</v>
      </c>
      <c r="B89" s="5" t="s">
        <v>18</v>
      </c>
      <c r="C89" s="5" t="s">
        <v>149</v>
      </c>
      <c r="D89" s="5" t="s">
        <v>150</v>
      </c>
      <c r="E89" s="5" t="s">
        <v>151</v>
      </c>
    </row>
    <row r="90" customFormat="false" ht="15" hidden="false" customHeight="false" outlineLevel="0" collapsed="false">
      <c r="A90" s="18" t="s">
        <v>84</v>
      </c>
      <c r="B90" s="18" t="s">
        <v>85</v>
      </c>
    </row>
    <row r="91" customFormat="false" ht="15" hidden="false" customHeight="false" outlineLevel="0" collapsed="false">
      <c r="A91" s="18" t="s">
        <v>84</v>
      </c>
      <c r="B91" s="18" t="s">
        <v>85</v>
      </c>
    </row>
    <row r="92" customFormat="false" ht="15" hidden="false" customHeight="false" outlineLevel="0" collapsed="false">
      <c r="A92" s="18" t="s">
        <v>84</v>
      </c>
      <c r="B92" s="18" t="s">
        <v>85</v>
      </c>
    </row>
    <row r="93" customFormat="false" ht="15" hidden="false" customHeight="false" outlineLevel="0" collapsed="false">
      <c r="A93" s="18" t="s">
        <v>84</v>
      </c>
      <c r="B93" s="18" t="s">
        <v>85</v>
      </c>
    </row>
    <row r="94" customFormat="false" ht="15" hidden="false" customHeight="false" outlineLevel="0" collapsed="false">
      <c r="A94" s="18" t="s">
        <v>84</v>
      </c>
      <c r="B94" s="18" t="s">
        <v>85</v>
      </c>
    </row>
    <row r="95" customFormat="false" ht="15" hidden="false" customHeight="false" outlineLevel="0" collapsed="false">
      <c r="A95" s="18" t="s">
        <v>84</v>
      </c>
      <c r="B95" s="18" t="s">
        <v>85</v>
      </c>
    </row>
    <row r="96" customFormat="false" ht="15" hidden="false" customHeight="false" outlineLevel="0" collapsed="false">
      <c r="A96" s="18" t="s">
        <v>84</v>
      </c>
      <c r="B96" s="18" t="s">
        <v>85</v>
      </c>
    </row>
    <row r="97" customFormat="false" ht="15" hidden="false" customHeight="false" outlineLevel="0" collapsed="false">
      <c r="A97" s="18" t="s">
        <v>84</v>
      </c>
      <c r="B97" s="18" t="s">
        <v>85</v>
      </c>
    </row>
    <row r="99" customFormat="false" ht="15" hidden="false" customHeight="false" outlineLevel="0" collapsed="false">
      <c r="A99" s="20" t="s">
        <v>216</v>
      </c>
      <c r="B99" s="20"/>
      <c r="C99" s="20"/>
      <c r="D99" s="20"/>
      <c r="E99" s="20"/>
    </row>
    <row r="100" customFormat="false" ht="15" hidden="false" customHeight="false" outlineLevel="0" collapsed="false">
      <c r="A100" s="5" t="s">
        <v>17</v>
      </c>
      <c r="B100" s="5" t="s">
        <v>18</v>
      </c>
      <c r="C100" s="5" t="s">
        <v>149</v>
      </c>
      <c r="D100" s="5" t="s">
        <v>150</v>
      </c>
      <c r="E100" s="5" t="s">
        <v>151</v>
      </c>
    </row>
    <row r="101" customFormat="false" ht="15" hidden="false" customHeight="false" outlineLevel="0" collapsed="false">
      <c r="A101" s="18" t="s">
        <v>86</v>
      </c>
      <c r="B101" s="18" t="s">
        <v>87</v>
      </c>
    </row>
    <row r="102" customFormat="false" ht="15" hidden="false" customHeight="false" outlineLevel="0" collapsed="false">
      <c r="A102" s="18" t="s">
        <v>86</v>
      </c>
      <c r="B102" s="18" t="s">
        <v>87</v>
      </c>
    </row>
    <row r="103" customFormat="false" ht="15" hidden="false" customHeight="false" outlineLevel="0" collapsed="false">
      <c r="A103" s="18" t="s">
        <v>86</v>
      </c>
      <c r="B103" s="18" t="s">
        <v>87</v>
      </c>
    </row>
    <row r="104" customFormat="false" ht="15" hidden="false" customHeight="false" outlineLevel="0" collapsed="false">
      <c r="A104" s="18" t="s">
        <v>86</v>
      </c>
      <c r="B104" s="18" t="s">
        <v>87</v>
      </c>
    </row>
    <row r="105" customFormat="false" ht="15" hidden="false" customHeight="false" outlineLevel="0" collapsed="false">
      <c r="A105" s="18" t="s">
        <v>86</v>
      </c>
      <c r="B105" s="18" t="s">
        <v>87</v>
      </c>
    </row>
    <row r="106" customFormat="false" ht="15" hidden="false" customHeight="false" outlineLevel="0" collapsed="false">
      <c r="A106" s="18" t="s">
        <v>86</v>
      </c>
      <c r="B106" s="18" t="s">
        <v>87</v>
      </c>
    </row>
    <row r="107" customFormat="false" ht="15" hidden="false" customHeight="false" outlineLevel="0" collapsed="false">
      <c r="A107" s="18" t="s">
        <v>86</v>
      </c>
      <c r="B107" s="18" t="s">
        <v>87</v>
      </c>
    </row>
    <row r="108" customFormat="false" ht="15" hidden="false" customHeight="false" outlineLevel="0" collapsed="false">
      <c r="A108" s="18" t="s">
        <v>86</v>
      </c>
      <c r="B108" s="18" t="s">
        <v>87</v>
      </c>
    </row>
    <row r="110" customFormat="false" ht="15" hidden="false" customHeight="false" outlineLevel="0" collapsed="false">
      <c r="A110" s="20" t="s">
        <v>217</v>
      </c>
      <c r="B110" s="20"/>
      <c r="C110" s="20"/>
      <c r="D110" s="20"/>
      <c r="E110" s="20"/>
    </row>
    <row r="111" customFormat="false" ht="15" hidden="false" customHeight="false" outlineLevel="0" collapsed="false">
      <c r="A111" s="5" t="s">
        <v>17</v>
      </c>
      <c r="B111" s="5" t="s">
        <v>18</v>
      </c>
      <c r="C111" s="5" t="s">
        <v>149</v>
      </c>
      <c r="D111" s="5" t="s">
        <v>150</v>
      </c>
      <c r="E111" s="5" t="s">
        <v>151</v>
      </c>
    </row>
    <row r="112" customFormat="false" ht="15" hidden="false" customHeight="false" outlineLevel="0" collapsed="false">
      <c r="A112" s="18" t="s">
        <v>88</v>
      </c>
      <c r="B112" s="18" t="s">
        <v>89</v>
      </c>
    </row>
    <row r="113" customFormat="false" ht="15" hidden="false" customHeight="false" outlineLevel="0" collapsed="false">
      <c r="A113" s="18" t="s">
        <v>88</v>
      </c>
      <c r="B113" s="18" t="s">
        <v>89</v>
      </c>
    </row>
    <row r="114" customFormat="false" ht="15" hidden="false" customHeight="false" outlineLevel="0" collapsed="false">
      <c r="A114" s="18" t="s">
        <v>88</v>
      </c>
      <c r="B114" s="18" t="s">
        <v>89</v>
      </c>
    </row>
    <row r="115" customFormat="false" ht="15" hidden="false" customHeight="false" outlineLevel="0" collapsed="false">
      <c r="A115" s="18" t="s">
        <v>88</v>
      </c>
      <c r="B115" s="18" t="s">
        <v>89</v>
      </c>
    </row>
    <row r="116" customFormat="false" ht="15" hidden="false" customHeight="false" outlineLevel="0" collapsed="false">
      <c r="A116" s="18" t="s">
        <v>88</v>
      </c>
      <c r="B116" s="18" t="s">
        <v>89</v>
      </c>
    </row>
    <row r="117" customFormat="false" ht="15" hidden="false" customHeight="false" outlineLevel="0" collapsed="false">
      <c r="A117" s="18" t="s">
        <v>88</v>
      </c>
      <c r="B117" s="18" t="s">
        <v>89</v>
      </c>
    </row>
    <row r="118" customFormat="false" ht="15" hidden="false" customHeight="false" outlineLevel="0" collapsed="false">
      <c r="A118" s="18" t="s">
        <v>88</v>
      </c>
      <c r="B118" s="18" t="s">
        <v>89</v>
      </c>
    </row>
    <row r="119" customFormat="false" ht="15" hidden="false" customHeight="false" outlineLevel="0" collapsed="false">
      <c r="A119" s="18" t="s">
        <v>88</v>
      </c>
      <c r="B119" s="18" t="s">
        <v>89</v>
      </c>
    </row>
    <row r="121" customFormat="false" ht="15" hidden="false" customHeight="false" outlineLevel="0" collapsed="false">
      <c r="A121" s="20" t="s">
        <v>218</v>
      </c>
      <c r="B121" s="20"/>
      <c r="C121" s="20"/>
      <c r="D121" s="20"/>
      <c r="E121" s="20"/>
    </row>
    <row r="122" customFormat="false" ht="15" hidden="false" customHeight="false" outlineLevel="0" collapsed="false">
      <c r="A122" s="5" t="s">
        <v>17</v>
      </c>
      <c r="B122" s="5" t="s">
        <v>18</v>
      </c>
      <c r="C122" s="5" t="s">
        <v>149</v>
      </c>
      <c r="D122" s="5" t="s">
        <v>150</v>
      </c>
      <c r="E122" s="5" t="s">
        <v>151</v>
      </c>
    </row>
    <row r="123" customFormat="false" ht="15" hidden="false" customHeight="false" outlineLevel="0" collapsed="false">
      <c r="A123" s="18" t="s">
        <v>94</v>
      </c>
      <c r="B123" s="18" t="s">
        <v>95</v>
      </c>
    </row>
    <row r="124" customFormat="false" ht="15" hidden="false" customHeight="false" outlineLevel="0" collapsed="false">
      <c r="A124" s="18" t="s">
        <v>94</v>
      </c>
      <c r="B124" s="18" t="s">
        <v>95</v>
      </c>
    </row>
    <row r="125" customFormat="false" ht="15" hidden="false" customHeight="false" outlineLevel="0" collapsed="false">
      <c r="A125" s="18" t="s">
        <v>94</v>
      </c>
      <c r="B125" s="18" t="s">
        <v>95</v>
      </c>
    </row>
    <row r="126" customFormat="false" ht="15" hidden="false" customHeight="false" outlineLevel="0" collapsed="false">
      <c r="A126" s="18" t="s">
        <v>94</v>
      </c>
      <c r="B126" s="18" t="s">
        <v>95</v>
      </c>
    </row>
    <row r="127" customFormat="false" ht="15" hidden="false" customHeight="false" outlineLevel="0" collapsed="false">
      <c r="A127" s="18" t="s">
        <v>94</v>
      </c>
      <c r="B127" s="18" t="s">
        <v>95</v>
      </c>
    </row>
    <row r="128" customFormat="false" ht="15" hidden="false" customHeight="false" outlineLevel="0" collapsed="false">
      <c r="A128" s="18" t="s">
        <v>94</v>
      </c>
      <c r="B128" s="18" t="s">
        <v>95</v>
      </c>
    </row>
    <row r="129" customFormat="false" ht="15" hidden="false" customHeight="false" outlineLevel="0" collapsed="false">
      <c r="A129" s="18" t="s">
        <v>94</v>
      </c>
      <c r="B129" s="18" t="s">
        <v>95</v>
      </c>
    </row>
    <row r="130" customFormat="false" ht="15" hidden="false" customHeight="false" outlineLevel="0" collapsed="false">
      <c r="A130" s="18" t="s">
        <v>94</v>
      </c>
      <c r="B130" s="18" t="s">
        <v>95</v>
      </c>
    </row>
    <row r="132" customFormat="false" ht="15" hidden="false" customHeight="false" outlineLevel="0" collapsed="false">
      <c r="A132" s="20" t="s">
        <v>219</v>
      </c>
      <c r="B132" s="20"/>
      <c r="C132" s="20"/>
      <c r="D132" s="20"/>
      <c r="E132" s="20"/>
    </row>
    <row r="133" customFormat="false" ht="15" hidden="false" customHeight="false" outlineLevel="0" collapsed="false">
      <c r="A133" s="5" t="s">
        <v>17</v>
      </c>
      <c r="B133" s="5" t="s">
        <v>18</v>
      </c>
      <c r="C133" s="5" t="s">
        <v>149</v>
      </c>
      <c r="D133" s="5" t="s">
        <v>150</v>
      </c>
      <c r="E133" s="5" t="s">
        <v>151</v>
      </c>
    </row>
    <row r="134" customFormat="false" ht="15" hidden="false" customHeight="false" outlineLevel="0" collapsed="false">
      <c r="A134" s="18" t="s">
        <v>96</v>
      </c>
      <c r="B134" s="18" t="s">
        <v>97</v>
      </c>
      <c r="C134" s="18" t="s">
        <v>220</v>
      </c>
    </row>
    <row r="135" customFormat="false" ht="15" hidden="false" customHeight="false" outlineLevel="0" collapsed="false">
      <c r="A135" s="18" t="s">
        <v>96</v>
      </c>
      <c r="B135" s="18" t="s">
        <v>97</v>
      </c>
      <c r="C135" s="18" t="s">
        <v>221</v>
      </c>
    </row>
    <row r="136" customFormat="false" ht="15" hidden="false" customHeight="false" outlineLevel="0" collapsed="false">
      <c r="A136" s="18" t="s">
        <v>96</v>
      </c>
      <c r="B136" s="18" t="s">
        <v>97</v>
      </c>
      <c r="C136" s="18" t="s">
        <v>222</v>
      </c>
    </row>
    <row r="137" customFormat="false" ht="15" hidden="false" customHeight="false" outlineLevel="0" collapsed="false">
      <c r="A137" s="18" t="s">
        <v>96</v>
      </c>
      <c r="B137" s="18" t="s">
        <v>97</v>
      </c>
      <c r="C137" s="18" t="s">
        <v>223</v>
      </c>
    </row>
    <row r="138" customFormat="false" ht="15" hidden="false" customHeight="false" outlineLevel="0" collapsed="false">
      <c r="A138" s="18" t="s">
        <v>96</v>
      </c>
      <c r="B138" s="18" t="s">
        <v>97</v>
      </c>
      <c r="C138" s="18" t="s">
        <v>224</v>
      </c>
    </row>
    <row r="139" customFormat="false" ht="15" hidden="false" customHeight="false" outlineLevel="0" collapsed="false">
      <c r="A139" s="18" t="s">
        <v>96</v>
      </c>
      <c r="B139" s="18" t="s">
        <v>97</v>
      </c>
      <c r="C139" s="18" t="s">
        <v>225</v>
      </c>
    </row>
    <row r="140" customFormat="false" ht="15" hidden="false" customHeight="false" outlineLevel="0" collapsed="false">
      <c r="A140" s="18" t="s">
        <v>96</v>
      </c>
      <c r="B140" s="18" t="s">
        <v>97</v>
      </c>
      <c r="C140" s="18" t="s">
        <v>226</v>
      </c>
    </row>
    <row r="141" customFormat="false" ht="15" hidden="false" customHeight="false" outlineLevel="0" collapsed="false">
      <c r="A141" s="18" t="s">
        <v>96</v>
      </c>
      <c r="B141" s="18" t="s">
        <v>97</v>
      </c>
      <c r="C141" s="18" t="s">
        <v>227</v>
      </c>
    </row>
    <row r="142" customFormat="false" ht="15" hidden="false" customHeight="false" outlineLevel="0" collapsed="false">
      <c r="A142" s="18" t="s">
        <v>96</v>
      </c>
      <c r="B142" s="18" t="s">
        <v>97</v>
      </c>
      <c r="C142" s="18" t="s">
        <v>228</v>
      </c>
    </row>
    <row r="143" customFormat="false" ht="15" hidden="false" customHeight="false" outlineLevel="0" collapsed="false">
      <c r="A143" s="18" t="s">
        <v>96</v>
      </c>
      <c r="B143" s="18" t="s">
        <v>97</v>
      </c>
      <c r="C143" s="18" t="s">
        <v>229</v>
      </c>
    </row>
    <row r="144" customFormat="false" ht="15" hidden="false" customHeight="false" outlineLevel="0" collapsed="false">
      <c r="A144" s="18" t="s">
        <v>96</v>
      </c>
      <c r="B144" s="18" t="s">
        <v>97</v>
      </c>
      <c r="C144" s="18" t="s">
        <v>230</v>
      </c>
    </row>
    <row r="145" customFormat="false" ht="15" hidden="false" customHeight="false" outlineLevel="0" collapsed="false">
      <c r="A145" s="18" t="s">
        <v>96</v>
      </c>
      <c r="B145" s="18" t="s">
        <v>97</v>
      </c>
      <c r="C145" s="18" t="s">
        <v>231</v>
      </c>
    </row>
    <row r="146" customFormat="false" ht="15" hidden="false" customHeight="false" outlineLevel="0" collapsed="false">
      <c r="A146" s="18" t="s">
        <v>96</v>
      </c>
      <c r="B146" s="18" t="s">
        <v>97</v>
      </c>
    </row>
    <row r="147" customFormat="false" ht="15" hidden="false" customHeight="false" outlineLevel="0" collapsed="false">
      <c r="A147" s="18" t="s">
        <v>96</v>
      </c>
      <c r="B147" s="18" t="s">
        <v>97</v>
      </c>
    </row>
    <row r="148" customFormat="false" ht="15" hidden="false" customHeight="false" outlineLevel="0" collapsed="false">
      <c r="A148" s="18" t="s">
        <v>96</v>
      </c>
      <c r="B148" s="18" t="s">
        <v>97</v>
      </c>
    </row>
    <row r="149" customFormat="false" ht="15" hidden="false" customHeight="false" outlineLevel="0" collapsed="false">
      <c r="A149" s="18" t="s">
        <v>96</v>
      </c>
      <c r="B149" s="18" t="s">
        <v>97</v>
      </c>
    </row>
    <row r="150" customFormat="false" ht="15" hidden="false" customHeight="false" outlineLevel="0" collapsed="false">
      <c r="A150" s="18" t="s">
        <v>96</v>
      </c>
      <c r="B150" s="18" t="s">
        <v>97</v>
      </c>
    </row>
    <row r="151" customFormat="false" ht="15" hidden="false" customHeight="false" outlineLevel="0" collapsed="false">
      <c r="A151" s="18" t="s">
        <v>96</v>
      </c>
      <c r="B151" s="18" t="s">
        <v>97</v>
      </c>
    </row>
    <row r="152" customFormat="false" ht="15" hidden="false" customHeight="false" outlineLevel="0" collapsed="false">
      <c r="A152" s="18" t="s">
        <v>96</v>
      </c>
      <c r="B152" s="18" t="s">
        <v>97</v>
      </c>
    </row>
    <row r="153" customFormat="false" ht="15" hidden="false" customHeight="false" outlineLevel="0" collapsed="false">
      <c r="A153" s="18" t="s">
        <v>96</v>
      </c>
      <c r="B153" s="18" t="s">
        <v>97</v>
      </c>
    </row>
    <row r="155" customFormat="false" ht="15" hidden="false" customHeight="false" outlineLevel="0" collapsed="false">
      <c r="A155" s="20" t="s">
        <v>232</v>
      </c>
      <c r="B155" s="20"/>
      <c r="C155" s="20"/>
      <c r="D155" s="20"/>
      <c r="E155" s="20"/>
    </row>
    <row r="156" customFormat="false" ht="15" hidden="false" customHeight="false" outlineLevel="0" collapsed="false">
      <c r="A156" s="5" t="s">
        <v>17</v>
      </c>
      <c r="B156" s="5" t="s">
        <v>18</v>
      </c>
      <c r="C156" s="5" t="s">
        <v>149</v>
      </c>
      <c r="D156" s="5" t="s">
        <v>150</v>
      </c>
      <c r="E156" s="5" t="s">
        <v>151</v>
      </c>
    </row>
    <row r="157" customFormat="false" ht="15" hidden="false" customHeight="false" outlineLevel="0" collapsed="false">
      <c r="A157" s="18" t="s">
        <v>98</v>
      </c>
      <c r="B157" s="18" t="s">
        <v>99</v>
      </c>
    </row>
    <row r="158" customFormat="false" ht="15" hidden="false" customHeight="false" outlineLevel="0" collapsed="false">
      <c r="A158" s="18" t="s">
        <v>98</v>
      </c>
      <c r="B158" s="18" t="s">
        <v>99</v>
      </c>
    </row>
    <row r="159" customFormat="false" ht="15" hidden="false" customHeight="false" outlineLevel="0" collapsed="false">
      <c r="A159" s="18" t="s">
        <v>98</v>
      </c>
      <c r="B159" s="18" t="s">
        <v>99</v>
      </c>
    </row>
    <row r="160" customFormat="false" ht="15" hidden="false" customHeight="false" outlineLevel="0" collapsed="false">
      <c r="A160" s="18" t="s">
        <v>98</v>
      </c>
      <c r="B160" s="18" t="s">
        <v>99</v>
      </c>
    </row>
    <row r="161" customFormat="false" ht="15" hidden="false" customHeight="false" outlineLevel="0" collapsed="false">
      <c r="A161" s="18" t="s">
        <v>98</v>
      </c>
      <c r="B161" s="18" t="s">
        <v>99</v>
      </c>
    </row>
    <row r="162" customFormat="false" ht="15" hidden="false" customHeight="false" outlineLevel="0" collapsed="false">
      <c r="A162" s="18" t="s">
        <v>98</v>
      </c>
      <c r="B162" s="18" t="s">
        <v>99</v>
      </c>
    </row>
    <row r="163" customFormat="false" ht="15" hidden="false" customHeight="false" outlineLevel="0" collapsed="false">
      <c r="A163" s="18" t="s">
        <v>98</v>
      </c>
      <c r="B163" s="18" t="s">
        <v>99</v>
      </c>
    </row>
    <row r="164" customFormat="false" ht="15" hidden="false" customHeight="false" outlineLevel="0" collapsed="false">
      <c r="A164" s="18" t="s">
        <v>98</v>
      </c>
      <c r="B164" s="18" t="s">
        <v>99</v>
      </c>
    </row>
    <row r="166" customFormat="false" ht="15" hidden="false" customHeight="false" outlineLevel="0" collapsed="false">
      <c r="A166" s="20" t="s">
        <v>233</v>
      </c>
      <c r="B166" s="20"/>
      <c r="C166" s="20"/>
      <c r="D166" s="20"/>
      <c r="E166" s="20"/>
    </row>
    <row r="167" customFormat="false" ht="15" hidden="false" customHeight="false" outlineLevel="0" collapsed="false">
      <c r="A167" s="5" t="s">
        <v>17</v>
      </c>
      <c r="B167" s="5" t="s">
        <v>18</v>
      </c>
      <c r="C167" s="5" t="s">
        <v>149</v>
      </c>
      <c r="D167" s="5" t="s">
        <v>150</v>
      </c>
      <c r="E167" s="5" t="s">
        <v>151</v>
      </c>
    </row>
    <row r="168" customFormat="false" ht="15" hidden="false" customHeight="false" outlineLevel="0" collapsed="false">
      <c r="A168" s="18" t="s">
        <v>100</v>
      </c>
      <c r="B168" s="18" t="s">
        <v>101</v>
      </c>
    </row>
    <row r="169" customFormat="false" ht="15" hidden="false" customHeight="false" outlineLevel="0" collapsed="false">
      <c r="A169" s="18" t="s">
        <v>100</v>
      </c>
      <c r="B169" s="18" t="s">
        <v>101</v>
      </c>
    </row>
    <row r="170" customFormat="false" ht="15" hidden="false" customHeight="false" outlineLevel="0" collapsed="false">
      <c r="A170" s="18" t="s">
        <v>100</v>
      </c>
      <c r="B170" s="18" t="s">
        <v>101</v>
      </c>
    </row>
    <row r="171" customFormat="false" ht="15" hidden="false" customHeight="false" outlineLevel="0" collapsed="false">
      <c r="A171" s="18" t="s">
        <v>100</v>
      </c>
      <c r="B171" s="18" t="s">
        <v>101</v>
      </c>
    </row>
    <row r="172" customFormat="false" ht="15" hidden="false" customHeight="false" outlineLevel="0" collapsed="false">
      <c r="A172" s="18" t="s">
        <v>100</v>
      </c>
      <c r="B172" s="18" t="s">
        <v>101</v>
      </c>
    </row>
    <row r="173" customFormat="false" ht="15" hidden="false" customHeight="false" outlineLevel="0" collapsed="false">
      <c r="A173" s="18" t="s">
        <v>100</v>
      </c>
      <c r="B173" s="18" t="s">
        <v>101</v>
      </c>
    </row>
    <row r="174" customFormat="false" ht="15" hidden="false" customHeight="false" outlineLevel="0" collapsed="false">
      <c r="A174" s="18" t="s">
        <v>100</v>
      </c>
      <c r="B174" s="18" t="s">
        <v>101</v>
      </c>
    </row>
    <row r="175" customFormat="false" ht="15" hidden="false" customHeight="false" outlineLevel="0" collapsed="false">
      <c r="A175" s="18" t="s">
        <v>100</v>
      </c>
      <c r="B175" s="18" t="s">
        <v>101</v>
      </c>
    </row>
    <row r="177" customFormat="false" ht="15" hidden="false" customHeight="false" outlineLevel="0" collapsed="false">
      <c r="A177" s="20" t="s">
        <v>234</v>
      </c>
      <c r="B177" s="20"/>
      <c r="C177" s="20"/>
      <c r="D177" s="20"/>
      <c r="E177" s="20"/>
    </row>
    <row r="178" customFormat="false" ht="15" hidden="false" customHeight="false" outlineLevel="0" collapsed="false">
      <c r="A178" s="5" t="s">
        <v>17</v>
      </c>
      <c r="B178" s="5" t="s">
        <v>18</v>
      </c>
      <c r="C178" s="5" t="s">
        <v>149</v>
      </c>
      <c r="D178" s="5" t="s">
        <v>150</v>
      </c>
      <c r="E178" s="5" t="s">
        <v>151</v>
      </c>
    </row>
    <row r="179" customFormat="false" ht="15" hidden="false" customHeight="false" outlineLevel="0" collapsed="false">
      <c r="A179" s="18" t="s">
        <v>102</v>
      </c>
      <c r="B179" s="18" t="s">
        <v>103</v>
      </c>
    </row>
    <row r="180" customFormat="false" ht="15" hidden="false" customHeight="false" outlineLevel="0" collapsed="false">
      <c r="A180" s="18" t="s">
        <v>102</v>
      </c>
      <c r="B180" s="18" t="s">
        <v>103</v>
      </c>
    </row>
    <row r="181" customFormat="false" ht="15" hidden="false" customHeight="false" outlineLevel="0" collapsed="false">
      <c r="A181" s="18" t="s">
        <v>102</v>
      </c>
      <c r="B181" s="18" t="s">
        <v>103</v>
      </c>
    </row>
    <row r="182" customFormat="false" ht="15" hidden="false" customHeight="false" outlineLevel="0" collapsed="false">
      <c r="A182" s="18" t="s">
        <v>102</v>
      </c>
      <c r="B182" s="18" t="s">
        <v>103</v>
      </c>
    </row>
    <row r="183" customFormat="false" ht="15" hidden="false" customHeight="false" outlineLevel="0" collapsed="false">
      <c r="A183" s="18" t="s">
        <v>102</v>
      </c>
      <c r="B183" s="18" t="s">
        <v>103</v>
      </c>
    </row>
    <row r="184" customFormat="false" ht="15" hidden="false" customHeight="false" outlineLevel="0" collapsed="false">
      <c r="A184" s="18" t="s">
        <v>102</v>
      </c>
      <c r="B184" s="18" t="s">
        <v>103</v>
      </c>
    </row>
    <row r="185" customFormat="false" ht="15" hidden="false" customHeight="false" outlineLevel="0" collapsed="false">
      <c r="A185" s="18" t="s">
        <v>102</v>
      </c>
      <c r="B185" s="18" t="s">
        <v>103</v>
      </c>
    </row>
    <row r="186" customFormat="false" ht="15" hidden="false" customHeight="false" outlineLevel="0" collapsed="false">
      <c r="A186" s="18" t="s">
        <v>102</v>
      </c>
      <c r="B186" s="18" t="s">
        <v>103</v>
      </c>
    </row>
    <row r="188" customFormat="false" ht="15" hidden="false" customHeight="false" outlineLevel="0" collapsed="false">
      <c r="A188" s="20" t="s">
        <v>235</v>
      </c>
      <c r="B188" s="20"/>
      <c r="C188" s="20"/>
      <c r="D188" s="20"/>
      <c r="E188" s="20"/>
    </row>
    <row r="189" customFormat="false" ht="15" hidden="false" customHeight="false" outlineLevel="0" collapsed="false">
      <c r="A189" s="5" t="s">
        <v>17</v>
      </c>
      <c r="B189" s="5" t="s">
        <v>18</v>
      </c>
      <c r="C189" s="5" t="s">
        <v>149</v>
      </c>
      <c r="D189" s="5" t="s">
        <v>150</v>
      </c>
      <c r="E189" s="5" t="s">
        <v>151</v>
      </c>
    </row>
    <row r="190" customFormat="false" ht="15" hidden="false" customHeight="false" outlineLevel="0" collapsed="false">
      <c r="A190" s="18" t="s">
        <v>104</v>
      </c>
      <c r="B190" s="18" t="s">
        <v>105</v>
      </c>
    </row>
    <row r="191" customFormat="false" ht="15" hidden="false" customHeight="false" outlineLevel="0" collapsed="false">
      <c r="A191" s="18" t="s">
        <v>104</v>
      </c>
      <c r="B191" s="18" t="s">
        <v>105</v>
      </c>
    </row>
    <row r="192" customFormat="false" ht="15" hidden="false" customHeight="false" outlineLevel="0" collapsed="false">
      <c r="A192" s="18" t="s">
        <v>104</v>
      </c>
      <c r="B192" s="18" t="s">
        <v>105</v>
      </c>
    </row>
    <row r="193" customFormat="false" ht="15" hidden="false" customHeight="false" outlineLevel="0" collapsed="false">
      <c r="A193" s="18" t="s">
        <v>104</v>
      </c>
      <c r="B193" s="18" t="s">
        <v>105</v>
      </c>
    </row>
    <row r="194" customFormat="false" ht="15" hidden="false" customHeight="false" outlineLevel="0" collapsed="false">
      <c r="A194" s="18" t="s">
        <v>104</v>
      </c>
      <c r="B194" s="18" t="s">
        <v>105</v>
      </c>
    </row>
    <row r="195" customFormat="false" ht="15" hidden="false" customHeight="false" outlineLevel="0" collapsed="false">
      <c r="A195" s="18" t="s">
        <v>104</v>
      </c>
      <c r="B195" s="18" t="s">
        <v>105</v>
      </c>
    </row>
    <row r="196" customFormat="false" ht="15" hidden="false" customHeight="false" outlineLevel="0" collapsed="false">
      <c r="A196" s="18" t="s">
        <v>104</v>
      </c>
      <c r="B196" s="18" t="s">
        <v>105</v>
      </c>
    </row>
    <row r="197" customFormat="false" ht="15" hidden="false" customHeight="false" outlineLevel="0" collapsed="false">
      <c r="A197" s="18" t="s">
        <v>104</v>
      </c>
      <c r="B197" s="18" t="s">
        <v>105</v>
      </c>
    </row>
    <row r="199" customFormat="false" ht="15" hidden="false" customHeight="false" outlineLevel="0" collapsed="false">
      <c r="A199" s="20" t="s">
        <v>236</v>
      </c>
      <c r="B199" s="20"/>
      <c r="C199" s="20"/>
      <c r="D199" s="20"/>
      <c r="E199" s="20"/>
    </row>
    <row r="200" customFormat="false" ht="15" hidden="false" customHeight="false" outlineLevel="0" collapsed="false">
      <c r="A200" s="5" t="s">
        <v>17</v>
      </c>
      <c r="B200" s="5" t="s">
        <v>18</v>
      </c>
      <c r="C200" s="5" t="s">
        <v>149</v>
      </c>
      <c r="D200" s="5" t="s">
        <v>150</v>
      </c>
      <c r="E200" s="5" t="s">
        <v>151</v>
      </c>
    </row>
    <row r="201" customFormat="false" ht="15" hidden="false" customHeight="false" outlineLevel="0" collapsed="false">
      <c r="A201" s="18" t="s">
        <v>111</v>
      </c>
      <c r="B201" s="18" t="s">
        <v>112</v>
      </c>
      <c r="C201" s="18" t="s">
        <v>237</v>
      </c>
    </row>
    <row r="202" customFormat="false" ht="15" hidden="false" customHeight="false" outlineLevel="0" collapsed="false">
      <c r="A202" s="18" t="s">
        <v>111</v>
      </c>
      <c r="B202" s="18" t="s">
        <v>112</v>
      </c>
      <c r="C202" s="18" t="s">
        <v>238</v>
      </c>
    </row>
    <row r="203" customFormat="false" ht="15" hidden="false" customHeight="false" outlineLevel="0" collapsed="false">
      <c r="A203" s="18" t="s">
        <v>111</v>
      </c>
      <c r="B203" s="18" t="s">
        <v>112</v>
      </c>
      <c r="C203" s="18" t="s">
        <v>239</v>
      </c>
    </row>
    <row r="204" customFormat="false" ht="15" hidden="false" customHeight="false" outlineLevel="0" collapsed="false">
      <c r="A204" s="18" t="s">
        <v>111</v>
      </c>
      <c r="B204" s="18" t="s">
        <v>112</v>
      </c>
      <c r="C204" s="18" t="s">
        <v>240</v>
      </c>
    </row>
    <row r="205" customFormat="false" ht="15" hidden="false" customHeight="false" outlineLevel="0" collapsed="false">
      <c r="A205" s="18" t="s">
        <v>111</v>
      </c>
      <c r="B205" s="18" t="s">
        <v>112</v>
      </c>
    </row>
    <row r="206" customFormat="false" ht="15" hidden="false" customHeight="false" outlineLevel="0" collapsed="false">
      <c r="A206" s="18" t="s">
        <v>111</v>
      </c>
      <c r="B206" s="18" t="s">
        <v>112</v>
      </c>
    </row>
    <row r="207" customFormat="false" ht="15" hidden="false" customHeight="false" outlineLevel="0" collapsed="false">
      <c r="A207" s="18" t="s">
        <v>111</v>
      </c>
      <c r="B207" s="18" t="s">
        <v>112</v>
      </c>
    </row>
    <row r="208" customFormat="false" ht="15" hidden="false" customHeight="false" outlineLevel="0" collapsed="false">
      <c r="A208" s="18" t="s">
        <v>111</v>
      </c>
      <c r="B208" s="18" t="s">
        <v>112</v>
      </c>
    </row>
    <row r="209" customFormat="false" ht="15" hidden="false" customHeight="false" outlineLevel="0" collapsed="false">
      <c r="A209" s="18" t="s">
        <v>111</v>
      </c>
      <c r="B209" s="18" t="s">
        <v>112</v>
      </c>
    </row>
    <row r="210" customFormat="false" ht="15" hidden="false" customHeight="false" outlineLevel="0" collapsed="false">
      <c r="A210" s="18" t="s">
        <v>111</v>
      </c>
      <c r="B210" s="18" t="s">
        <v>112</v>
      </c>
    </row>
    <row r="211" customFormat="false" ht="15" hidden="false" customHeight="false" outlineLevel="0" collapsed="false">
      <c r="A211" s="18" t="s">
        <v>111</v>
      </c>
      <c r="B211" s="18" t="s">
        <v>112</v>
      </c>
    </row>
    <row r="212" customFormat="false" ht="15" hidden="false" customHeight="false" outlineLevel="0" collapsed="false">
      <c r="A212" s="18" t="s">
        <v>111</v>
      </c>
      <c r="B212" s="18" t="s">
        <v>112</v>
      </c>
    </row>
    <row r="214" customFormat="false" ht="15" hidden="false" customHeight="false" outlineLevel="0" collapsed="false">
      <c r="A214" s="20" t="s">
        <v>241</v>
      </c>
      <c r="B214" s="20"/>
      <c r="C214" s="20"/>
      <c r="D214" s="20"/>
      <c r="E214" s="20"/>
    </row>
    <row r="215" customFormat="false" ht="15" hidden="false" customHeight="false" outlineLevel="0" collapsed="false">
      <c r="A215" s="5" t="s">
        <v>17</v>
      </c>
      <c r="B215" s="5" t="s">
        <v>18</v>
      </c>
      <c r="C215" s="5" t="s">
        <v>149</v>
      </c>
      <c r="D215" s="5" t="s">
        <v>150</v>
      </c>
      <c r="E215" s="5" t="s">
        <v>151</v>
      </c>
    </row>
    <row r="216" customFormat="false" ht="15" hidden="false" customHeight="false" outlineLevel="0" collapsed="false">
      <c r="A216" s="18" t="s">
        <v>117</v>
      </c>
      <c r="B216" s="18" t="s">
        <v>118</v>
      </c>
    </row>
    <row r="217" customFormat="false" ht="15" hidden="false" customHeight="false" outlineLevel="0" collapsed="false">
      <c r="A217" s="18" t="s">
        <v>117</v>
      </c>
      <c r="B217" s="18" t="s">
        <v>118</v>
      </c>
    </row>
    <row r="218" customFormat="false" ht="15" hidden="false" customHeight="false" outlineLevel="0" collapsed="false">
      <c r="A218" s="18" t="s">
        <v>117</v>
      </c>
      <c r="B218" s="18" t="s">
        <v>118</v>
      </c>
    </row>
    <row r="219" customFormat="false" ht="15" hidden="false" customHeight="false" outlineLevel="0" collapsed="false">
      <c r="A219" s="18" t="s">
        <v>117</v>
      </c>
      <c r="B219" s="18" t="s">
        <v>118</v>
      </c>
    </row>
    <row r="220" customFormat="false" ht="15" hidden="false" customHeight="false" outlineLevel="0" collapsed="false">
      <c r="A220" s="18" t="s">
        <v>117</v>
      </c>
      <c r="B220" s="18" t="s">
        <v>118</v>
      </c>
    </row>
    <row r="221" customFormat="false" ht="15" hidden="false" customHeight="false" outlineLevel="0" collapsed="false">
      <c r="A221" s="18" t="s">
        <v>117</v>
      </c>
      <c r="B221" s="18" t="s">
        <v>118</v>
      </c>
    </row>
    <row r="222" customFormat="false" ht="15" hidden="false" customHeight="false" outlineLevel="0" collapsed="false">
      <c r="A222" s="18" t="s">
        <v>117</v>
      </c>
      <c r="B222" s="18" t="s">
        <v>118</v>
      </c>
    </row>
    <row r="223" customFormat="false" ht="15" hidden="false" customHeight="false" outlineLevel="0" collapsed="false">
      <c r="A223" s="18" t="s">
        <v>117</v>
      </c>
      <c r="B223" s="18" t="s">
        <v>118</v>
      </c>
    </row>
    <row r="225" customFormat="false" ht="15" hidden="false" customHeight="false" outlineLevel="0" collapsed="false">
      <c r="A225" s="20" t="s">
        <v>242</v>
      </c>
      <c r="B225" s="20"/>
      <c r="C225" s="20"/>
      <c r="D225" s="20"/>
      <c r="E225" s="20"/>
    </row>
    <row r="226" customFormat="false" ht="15" hidden="false" customHeight="false" outlineLevel="0" collapsed="false">
      <c r="A226" s="5" t="s">
        <v>17</v>
      </c>
      <c r="B226" s="5" t="s">
        <v>18</v>
      </c>
      <c r="C226" s="5" t="s">
        <v>149</v>
      </c>
      <c r="D226" s="5" t="s">
        <v>150</v>
      </c>
      <c r="E226" s="5" t="s">
        <v>151</v>
      </c>
    </row>
    <row r="227" customFormat="false" ht="15" hidden="false" customHeight="false" outlineLevel="0" collapsed="false">
      <c r="A227" s="18" t="s">
        <v>119</v>
      </c>
      <c r="B227" s="18" t="s">
        <v>120</v>
      </c>
      <c r="C227" s="18" t="s">
        <v>243</v>
      </c>
    </row>
    <row r="228" customFormat="false" ht="15" hidden="false" customHeight="false" outlineLevel="0" collapsed="false">
      <c r="A228" s="18" t="s">
        <v>119</v>
      </c>
      <c r="B228" s="18" t="s">
        <v>120</v>
      </c>
      <c r="C228" s="18" t="s">
        <v>244</v>
      </c>
    </row>
    <row r="229" customFormat="false" ht="15" hidden="false" customHeight="false" outlineLevel="0" collapsed="false">
      <c r="A229" s="18" t="s">
        <v>119</v>
      </c>
      <c r="B229" s="18" t="s">
        <v>120</v>
      </c>
    </row>
    <row r="230" customFormat="false" ht="15" hidden="false" customHeight="false" outlineLevel="0" collapsed="false">
      <c r="A230" s="18" t="s">
        <v>119</v>
      </c>
      <c r="B230" s="18" t="s">
        <v>120</v>
      </c>
    </row>
    <row r="231" customFormat="false" ht="15" hidden="false" customHeight="false" outlineLevel="0" collapsed="false">
      <c r="A231" s="18" t="s">
        <v>119</v>
      </c>
      <c r="B231" s="18" t="s">
        <v>120</v>
      </c>
    </row>
    <row r="232" customFormat="false" ht="15" hidden="false" customHeight="false" outlineLevel="0" collapsed="false">
      <c r="A232" s="18" t="s">
        <v>119</v>
      </c>
      <c r="B232" s="18" t="s">
        <v>120</v>
      </c>
    </row>
    <row r="233" customFormat="false" ht="15" hidden="false" customHeight="false" outlineLevel="0" collapsed="false">
      <c r="A233" s="18" t="s">
        <v>119</v>
      </c>
      <c r="B233" s="18" t="s">
        <v>120</v>
      </c>
    </row>
    <row r="234" customFormat="false" ht="15" hidden="false" customHeight="false" outlineLevel="0" collapsed="false">
      <c r="A234" s="18" t="s">
        <v>119</v>
      </c>
      <c r="B234" s="18" t="s">
        <v>120</v>
      </c>
    </row>
    <row r="235" customFormat="false" ht="15" hidden="false" customHeight="false" outlineLevel="0" collapsed="false">
      <c r="A235" s="18" t="s">
        <v>119</v>
      </c>
      <c r="B235" s="18" t="s">
        <v>120</v>
      </c>
    </row>
    <row r="236" customFormat="false" ht="15" hidden="false" customHeight="false" outlineLevel="0" collapsed="false">
      <c r="A236" s="18" t="s">
        <v>119</v>
      </c>
      <c r="B236" s="18" t="s">
        <v>120</v>
      </c>
    </row>
    <row r="238" customFormat="false" ht="15" hidden="false" customHeight="false" outlineLevel="0" collapsed="false">
      <c r="A238" s="20" t="s">
        <v>245</v>
      </c>
      <c r="B238" s="20"/>
      <c r="C238" s="20"/>
      <c r="D238" s="20"/>
      <c r="E238" s="20"/>
    </row>
    <row r="239" customFormat="false" ht="15" hidden="false" customHeight="false" outlineLevel="0" collapsed="false">
      <c r="A239" s="5" t="s">
        <v>17</v>
      </c>
      <c r="B239" s="5" t="s">
        <v>18</v>
      </c>
      <c r="C239" s="5" t="s">
        <v>149</v>
      </c>
      <c r="D239" s="5" t="s">
        <v>150</v>
      </c>
      <c r="E239" s="5" t="s">
        <v>151</v>
      </c>
    </row>
    <row r="240" customFormat="false" ht="15" hidden="false" customHeight="false" outlineLevel="0" collapsed="false">
      <c r="A240" s="18" t="s">
        <v>121</v>
      </c>
      <c r="B240" s="18" t="s">
        <v>122</v>
      </c>
    </row>
    <row r="241" customFormat="false" ht="15" hidden="false" customHeight="false" outlineLevel="0" collapsed="false">
      <c r="A241" s="18" t="s">
        <v>121</v>
      </c>
      <c r="B241" s="18" t="s">
        <v>122</v>
      </c>
    </row>
    <row r="242" customFormat="false" ht="15" hidden="false" customHeight="false" outlineLevel="0" collapsed="false">
      <c r="A242" s="18" t="s">
        <v>121</v>
      </c>
      <c r="B242" s="18" t="s">
        <v>122</v>
      </c>
    </row>
    <row r="243" customFormat="false" ht="15" hidden="false" customHeight="false" outlineLevel="0" collapsed="false">
      <c r="A243" s="18" t="s">
        <v>121</v>
      </c>
      <c r="B243" s="18" t="s">
        <v>122</v>
      </c>
    </row>
    <row r="244" customFormat="false" ht="15" hidden="false" customHeight="false" outlineLevel="0" collapsed="false">
      <c r="A244" s="18" t="s">
        <v>121</v>
      </c>
      <c r="B244" s="18" t="s">
        <v>122</v>
      </c>
    </row>
    <row r="245" customFormat="false" ht="15" hidden="false" customHeight="false" outlineLevel="0" collapsed="false">
      <c r="A245" s="18" t="s">
        <v>121</v>
      </c>
      <c r="B245" s="18" t="s">
        <v>122</v>
      </c>
    </row>
    <row r="246" customFormat="false" ht="15" hidden="false" customHeight="false" outlineLevel="0" collapsed="false">
      <c r="A246" s="18" t="s">
        <v>121</v>
      </c>
      <c r="B246" s="18" t="s">
        <v>122</v>
      </c>
    </row>
    <row r="247" customFormat="false" ht="15" hidden="false" customHeight="false" outlineLevel="0" collapsed="false">
      <c r="A247" s="18" t="s">
        <v>121</v>
      </c>
      <c r="B247" s="18" t="s">
        <v>122</v>
      </c>
    </row>
    <row r="249" customFormat="false" ht="15" hidden="false" customHeight="false" outlineLevel="0" collapsed="false">
      <c r="A249" s="20" t="s">
        <v>246</v>
      </c>
      <c r="B249" s="20"/>
      <c r="C249" s="20"/>
      <c r="D249" s="20"/>
      <c r="E249" s="20"/>
    </row>
    <row r="250" customFormat="false" ht="15" hidden="false" customHeight="false" outlineLevel="0" collapsed="false">
      <c r="A250" s="5" t="s">
        <v>17</v>
      </c>
      <c r="B250" s="5" t="s">
        <v>18</v>
      </c>
      <c r="C250" s="5" t="s">
        <v>149</v>
      </c>
      <c r="D250" s="5" t="s">
        <v>150</v>
      </c>
      <c r="E250" s="5" t="s">
        <v>151</v>
      </c>
    </row>
    <row r="251" customFormat="false" ht="15" hidden="false" customHeight="false" outlineLevel="0" collapsed="false">
      <c r="A251" s="18" t="s">
        <v>123</v>
      </c>
      <c r="B251" s="18" t="s">
        <v>124</v>
      </c>
      <c r="C251" s="18" t="s">
        <v>247</v>
      </c>
    </row>
    <row r="252" customFormat="false" ht="15" hidden="false" customHeight="false" outlineLevel="0" collapsed="false">
      <c r="A252" s="18" t="s">
        <v>123</v>
      </c>
      <c r="B252" s="18" t="s">
        <v>124</v>
      </c>
      <c r="C252" s="18" t="s">
        <v>248</v>
      </c>
    </row>
    <row r="253" customFormat="false" ht="15" hidden="false" customHeight="false" outlineLevel="0" collapsed="false">
      <c r="A253" s="18" t="s">
        <v>123</v>
      </c>
      <c r="B253" s="18" t="s">
        <v>124</v>
      </c>
      <c r="C253" s="18" t="s">
        <v>249</v>
      </c>
    </row>
    <row r="254" customFormat="false" ht="15" hidden="false" customHeight="false" outlineLevel="0" collapsed="false">
      <c r="A254" s="18" t="s">
        <v>123</v>
      </c>
      <c r="B254" s="18" t="s">
        <v>124</v>
      </c>
      <c r="C254" s="18" t="s">
        <v>250</v>
      </c>
    </row>
    <row r="255" customFormat="false" ht="15" hidden="false" customHeight="false" outlineLevel="0" collapsed="false">
      <c r="A255" s="18" t="s">
        <v>123</v>
      </c>
      <c r="B255" s="18" t="s">
        <v>124</v>
      </c>
      <c r="C255" s="18" t="s">
        <v>251</v>
      </c>
    </row>
    <row r="256" customFormat="false" ht="15" hidden="false" customHeight="false" outlineLevel="0" collapsed="false">
      <c r="A256" s="18" t="s">
        <v>123</v>
      </c>
      <c r="B256" s="18" t="s">
        <v>124</v>
      </c>
      <c r="C256" s="18" t="s">
        <v>252</v>
      </c>
    </row>
    <row r="257" customFormat="false" ht="15" hidden="false" customHeight="false" outlineLevel="0" collapsed="false">
      <c r="A257" s="18" t="s">
        <v>123</v>
      </c>
      <c r="B257" s="18" t="s">
        <v>124</v>
      </c>
      <c r="C257" s="18" t="s">
        <v>253</v>
      </c>
    </row>
    <row r="258" customFormat="false" ht="15" hidden="false" customHeight="false" outlineLevel="0" collapsed="false">
      <c r="A258" s="18" t="s">
        <v>123</v>
      </c>
      <c r="B258" s="18" t="s">
        <v>124</v>
      </c>
      <c r="C258" s="18" t="s">
        <v>254</v>
      </c>
    </row>
    <row r="259" customFormat="false" ht="15" hidden="false" customHeight="false" outlineLevel="0" collapsed="false">
      <c r="A259" s="18" t="s">
        <v>123</v>
      </c>
      <c r="B259" s="18" t="s">
        <v>124</v>
      </c>
      <c r="C259" s="18" t="s">
        <v>255</v>
      </c>
    </row>
    <row r="260" customFormat="false" ht="15" hidden="false" customHeight="false" outlineLevel="0" collapsed="false">
      <c r="A260" s="18" t="s">
        <v>123</v>
      </c>
      <c r="B260" s="18" t="s">
        <v>124</v>
      </c>
      <c r="C260" s="18" t="s">
        <v>256</v>
      </c>
    </row>
    <row r="261" customFormat="false" ht="15" hidden="false" customHeight="false" outlineLevel="0" collapsed="false">
      <c r="A261" s="18" t="s">
        <v>123</v>
      </c>
      <c r="B261" s="18" t="s">
        <v>124</v>
      </c>
      <c r="C261" s="18" t="s">
        <v>257</v>
      </c>
    </row>
    <row r="262" customFormat="false" ht="15" hidden="false" customHeight="false" outlineLevel="0" collapsed="false">
      <c r="A262" s="18" t="s">
        <v>123</v>
      </c>
      <c r="B262" s="18" t="s">
        <v>124</v>
      </c>
      <c r="C262" s="18" t="s">
        <v>258</v>
      </c>
    </row>
    <row r="263" customFormat="false" ht="15" hidden="false" customHeight="false" outlineLevel="0" collapsed="false">
      <c r="A263" s="18" t="s">
        <v>123</v>
      </c>
      <c r="B263" s="18" t="s">
        <v>124</v>
      </c>
      <c r="C263" s="18" t="s">
        <v>259</v>
      </c>
    </row>
    <row r="264" customFormat="false" ht="15" hidden="false" customHeight="false" outlineLevel="0" collapsed="false">
      <c r="A264" s="18" t="s">
        <v>123</v>
      </c>
      <c r="B264" s="18" t="s">
        <v>124</v>
      </c>
      <c r="C264" s="18" t="s">
        <v>260</v>
      </c>
    </row>
    <row r="265" customFormat="false" ht="15" hidden="false" customHeight="false" outlineLevel="0" collapsed="false">
      <c r="A265" s="18" t="s">
        <v>123</v>
      </c>
      <c r="B265" s="18" t="s">
        <v>124</v>
      </c>
      <c r="C265" s="18" t="s">
        <v>261</v>
      </c>
    </row>
    <row r="266" customFormat="false" ht="15" hidden="false" customHeight="false" outlineLevel="0" collapsed="false">
      <c r="A266" s="18" t="s">
        <v>123</v>
      </c>
      <c r="B266" s="18" t="s">
        <v>124</v>
      </c>
      <c r="C266" s="18" t="s">
        <v>262</v>
      </c>
    </row>
    <row r="267" customFormat="false" ht="15" hidden="false" customHeight="false" outlineLevel="0" collapsed="false">
      <c r="A267" s="18" t="s">
        <v>123</v>
      </c>
      <c r="B267" s="18" t="s">
        <v>124</v>
      </c>
    </row>
    <row r="268" customFormat="false" ht="15" hidden="false" customHeight="false" outlineLevel="0" collapsed="false">
      <c r="A268" s="18" t="s">
        <v>123</v>
      </c>
      <c r="B268" s="18" t="s">
        <v>124</v>
      </c>
    </row>
    <row r="269" customFormat="false" ht="15" hidden="false" customHeight="false" outlineLevel="0" collapsed="false">
      <c r="A269" s="18" t="s">
        <v>123</v>
      </c>
      <c r="B269" s="18" t="s">
        <v>124</v>
      </c>
    </row>
    <row r="270" customFormat="false" ht="15" hidden="false" customHeight="false" outlineLevel="0" collapsed="false">
      <c r="A270" s="18" t="s">
        <v>123</v>
      </c>
      <c r="B270" s="18" t="s">
        <v>124</v>
      </c>
    </row>
    <row r="271" customFormat="false" ht="15" hidden="false" customHeight="false" outlineLevel="0" collapsed="false">
      <c r="A271" s="18" t="s">
        <v>123</v>
      </c>
      <c r="B271" s="18" t="s">
        <v>124</v>
      </c>
    </row>
    <row r="272" customFormat="false" ht="15" hidden="false" customHeight="false" outlineLevel="0" collapsed="false">
      <c r="A272" s="18" t="s">
        <v>123</v>
      </c>
      <c r="B272" s="18" t="s">
        <v>124</v>
      </c>
    </row>
    <row r="273" customFormat="false" ht="15" hidden="false" customHeight="false" outlineLevel="0" collapsed="false">
      <c r="A273" s="18" t="s">
        <v>123</v>
      </c>
      <c r="B273" s="18" t="s">
        <v>124</v>
      </c>
    </row>
    <row r="274" customFormat="false" ht="15" hidden="false" customHeight="false" outlineLevel="0" collapsed="false">
      <c r="A274" s="18" t="s">
        <v>123</v>
      </c>
      <c r="B274" s="18" t="s">
        <v>124</v>
      </c>
    </row>
    <row r="276" customFormat="false" ht="15" hidden="false" customHeight="false" outlineLevel="0" collapsed="false">
      <c r="A276" s="20" t="s">
        <v>263</v>
      </c>
      <c r="B276" s="20"/>
      <c r="C276" s="20"/>
      <c r="D276" s="20"/>
      <c r="E276" s="20"/>
    </row>
    <row r="277" customFormat="false" ht="15" hidden="false" customHeight="false" outlineLevel="0" collapsed="false">
      <c r="A277" s="5" t="s">
        <v>17</v>
      </c>
      <c r="B277" s="5" t="s">
        <v>18</v>
      </c>
      <c r="C277" s="5" t="s">
        <v>149</v>
      </c>
      <c r="D277" s="5" t="s">
        <v>150</v>
      </c>
      <c r="E277" s="5" t="s">
        <v>151</v>
      </c>
    </row>
    <row r="278" customFormat="false" ht="15" hidden="false" customHeight="false" outlineLevel="0" collapsed="false">
      <c r="A278" s="18" t="s">
        <v>125</v>
      </c>
      <c r="B278" s="18" t="s">
        <v>126</v>
      </c>
      <c r="C278" s="18" t="s">
        <v>264</v>
      </c>
    </row>
    <row r="279" customFormat="false" ht="15" hidden="false" customHeight="false" outlineLevel="0" collapsed="false">
      <c r="A279" s="18" t="s">
        <v>125</v>
      </c>
      <c r="B279" s="18" t="s">
        <v>126</v>
      </c>
      <c r="C279" s="18" t="s">
        <v>265</v>
      </c>
    </row>
    <row r="280" customFormat="false" ht="15" hidden="false" customHeight="false" outlineLevel="0" collapsed="false">
      <c r="A280" s="18" t="s">
        <v>125</v>
      </c>
      <c r="B280" s="18" t="s">
        <v>126</v>
      </c>
      <c r="C280" s="18" t="s">
        <v>266</v>
      </c>
    </row>
    <row r="281" customFormat="false" ht="15" hidden="false" customHeight="false" outlineLevel="0" collapsed="false">
      <c r="A281" s="18" t="s">
        <v>125</v>
      </c>
      <c r="B281" s="18" t="s">
        <v>126</v>
      </c>
      <c r="C281" s="18" t="s">
        <v>267</v>
      </c>
    </row>
    <row r="282" customFormat="false" ht="15" hidden="false" customHeight="false" outlineLevel="0" collapsed="false">
      <c r="A282" s="18" t="s">
        <v>125</v>
      </c>
      <c r="B282" s="18" t="s">
        <v>126</v>
      </c>
      <c r="C282" s="18" t="s">
        <v>268</v>
      </c>
    </row>
    <row r="283" customFormat="false" ht="15" hidden="false" customHeight="false" outlineLevel="0" collapsed="false">
      <c r="A283" s="18" t="s">
        <v>125</v>
      </c>
      <c r="B283" s="18" t="s">
        <v>126</v>
      </c>
      <c r="C283" s="18" t="s">
        <v>269</v>
      </c>
    </row>
    <row r="284" customFormat="false" ht="15" hidden="false" customHeight="false" outlineLevel="0" collapsed="false">
      <c r="A284" s="18" t="s">
        <v>125</v>
      </c>
      <c r="B284" s="18" t="s">
        <v>126</v>
      </c>
      <c r="C284" s="18" t="s">
        <v>270</v>
      </c>
    </row>
    <row r="285" customFormat="false" ht="15" hidden="false" customHeight="false" outlineLevel="0" collapsed="false">
      <c r="A285" s="18" t="s">
        <v>125</v>
      </c>
      <c r="B285" s="18" t="s">
        <v>126</v>
      </c>
      <c r="C285" s="18" t="s">
        <v>271</v>
      </c>
    </row>
    <row r="286" customFormat="false" ht="15" hidden="false" customHeight="false" outlineLevel="0" collapsed="false">
      <c r="A286" s="18" t="s">
        <v>125</v>
      </c>
      <c r="B286" s="18" t="s">
        <v>126</v>
      </c>
      <c r="C286" s="18" t="s">
        <v>272</v>
      </c>
    </row>
    <row r="287" customFormat="false" ht="15" hidden="false" customHeight="false" outlineLevel="0" collapsed="false">
      <c r="A287" s="18" t="s">
        <v>125</v>
      </c>
      <c r="B287" s="18" t="s">
        <v>126</v>
      </c>
      <c r="C287" s="18" t="s">
        <v>273</v>
      </c>
    </row>
    <row r="288" customFormat="false" ht="15" hidden="false" customHeight="false" outlineLevel="0" collapsed="false">
      <c r="A288" s="18" t="s">
        <v>125</v>
      </c>
      <c r="B288" s="18" t="s">
        <v>126</v>
      </c>
      <c r="C288" s="18" t="s">
        <v>274</v>
      </c>
    </row>
    <row r="289" customFormat="false" ht="15" hidden="false" customHeight="false" outlineLevel="0" collapsed="false">
      <c r="A289" s="18" t="s">
        <v>125</v>
      </c>
      <c r="B289" s="18" t="s">
        <v>126</v>
      </c>
      <c r="C289" s="18" t="s">
        <v>275</v>
      </c>
    </row>
    <row r="290" customFormat="false" ht="15" hidden="false" customHeight="false" outlineLevel="0" collapsed="false">
      <c r="A290" s="18" t="s">
        <v>125</v>
      </c>
      <c r="B290" s="18" t="s">
        <v>126</v>
      </c>
      <c r="C290" s="18" t="s">
        <v>276</v>
      </c>
    </row>
    <row r="291" customFormat="false" ht="15" hidden="false" customHeight="false" outlineLevel="0" collapsed="false">
      <c r="A291" s="18" t="s">
        <v>125</v>
      </c>
      <c r="B291" s="18" t="s">
        <v>126</v>
      </c>
      <c r="C291" s="18" t="s">
        <v>277</v>
      </c>
    </row>
    <row r="292" customFormat="false" ht="15" hidden="false" customHeight="false" outlineLevel="0" collapsed="false">
      <c r="A292" s="18" t="s">
        <v>125</v>
      </c>
      <c r="B292" s="18" t="s">
        <v>126</v>
      </c>
      <c r="C292" s="18" t="s">
        <v>278</v>
      </c>
    </row>
    <row r="293" customFormat="false" ht="15" hidden="false" customHeight="false" outlineLevel="0" collapsed="false">
      <c r="A293" s="18" t="s">
        <v>125</v>
      </c>
      <c r="B293" s="18" t="s">
        <v>126</v>
      </c>
      <c r="C293" s="18" t="s">
        <v>279</v>
      </c>
    </row>
    <row r="294" customFormat="false" ht="15" hidden="false" customHeight="false" outlineLevel="0" collapsed="false">
      <c r="A294" s="18" t="s">
        <v>125</v>
      </c>
      <c r="B294" s="18" t="s">
        <v>126</v>
      </c>
      <c r="C294" s="18" t="s">
        <v>280</v>
      </c>
    </row>
    <row r="295" customFormat="false" ht="15" hidden="false" customHeight="false" outlineLevel="0" collapsed="false">
      <c r="A295" s="18" t="s">
        <v>125</v>
      </c>
      <c r="B295" s="18" t="s">
        <v>126</v>
      </c>
      <c r="C295" s="18" t="s">
        <v>281</v>
      </c>
    </row>
    <row r="296" customFormat="false" ht="15" hidden="false" customHeight="false" outlineLevel="0" collapsed="false">
      <c r="A296" s="18" t="s">
        <v>125</v>
      </c>
      <c r="B296" s="18" t="s">
        <v>126</v>
      </c>
      <c r="C296" s="18" t="s">
        <v>282</v>
      </c>
    </row>
    <row r="297" customFormat="false" ht="15" hidden="false" customHeight="false" outlineLevel="0" collapsed="false">
      <c r="A297" s="18" t="s">
        <v>125</v>
      </c>
      <c r="B297" s="18" t="s">
        <v>126</v>
      </c>
      <c r="C297" s="18" t="s">
        <v>283</v>
      </c>
    </row>
    <row r="298" customFormat="false" ht="15" hidden="false" customHeight="false" outlineLevel="0" collapsed="false">
      <c r="A298" s="18" t="s">
        <v>125</v>
      </c>
      <c r="B298" s="18" t="s">
        <v>126</v>
      </c>
      <c r="C298" s="18" t="s">
        <v>284</v>
      </c>
    </row>
    <row r="299" customFormat="false" ht="15" hidden="false" customHeight="false" outlineLevel="0" collapsed="false">
      <c r="A299" s="18" t="s">
        <v>125</v>
      </c>
      <c r="B299" s="18" t="s">
        <v>126</v>
      </c>
      <c r="C299" s="18" t="s">
        <v>285</v>
      </c>
    </row>
    <row r="300" customFormat="false" ht="15" hidden="false" customHeight="false" outlineLevel="0" collapsed="false">
      <c r="A300" s="18" t="s">
        <v>125</v>
      </c>
      <c r="B300" s="18" t="s">
        <v>126</v>
      </c>
      <c r="C300" s="18" t="s">
        <v>286</v>
      </c>
    </row>
    <row r="301" customFormat="false" ht="15" hidden="false" customHeight="false" outlineLevel="0" collapsed="false">
      <c r="A301" s="18" t="s">
        <v>125</v>
      </c>
      <c r="B301" s="18" t="s">
        <v>126</v>
      </c>
      <c r="C301" s="18" t="s">
        <v>287</v>
      </c>
    </row>
    <row r="302" customFormat="false" ht="15" hidden="false" customHeight="false" outlineLevel="0" collapsed="false">
      <c r="A302" s="18" t="s">
        <v>125</v>
      </c>
      <c r="B302" s="18" t="s">
        <v>126</v>
      </c>
      <c r="C302" s="18" t="s">
        <v>288</v>
      </c>
    </row>
    <row r="303" customFormat="false" ht="15" hidden="false" customHeight="false" outlineLevel="0" collapsed="false">
      <c r="A303" s="18" t="s">
        <v>125</v>
      </c>
      <c r="B303" s="18" t="s">
        <v>126</v>
      </c>
      <c r="C303" s="18" t="s">
        <v>289</v>
      </c>
    </row>
    <row r="304" customFormat="false" ht="15" hidden="false" customHeight="false" outlineLevel="0" collapsed="false">
      <c r="A304" s="18" t="s">
        <v>125</v>
      </c>
      <c r="B304" s="18" t="s">
        <v>126</v>
      </c>
      <c r="C304" s="18" t="s">
        <v>290</v>
      </c>
    </row>
    <row r="305" customFormat="false" ht="15" hidden="false" customHeight="false" outlineLevel="0" collapsed="false">
      <c r="A305" s="18" t="s">
        <v>125</v>
      </c>
      <c r="B305" s="18" t="s">
        <v>126</v>
      </c>
      <c r="C305" s="18" t="s">
        <v>291</v>
      </c>
    </row>
    <row r="306" customFormat="false" ht="15" hidden="false" customHeight="false" outlineLevel="0" collapsed="false">
      <c r="A306" s="18" t="s">
        <v>125</v>
      </c>
      <c r="B306" s="18" t="s">
        <v>126</v>
      </c>
    </row>
    <row r="307" customFormat="false" ht="15" hidden="false" customHeight="false" outlineLevel="0" collapsed="false">
      <c r="A307" s="18" t="s">
        <v>125</v>
      </c>
      <c r="B307" s="18" t="s">
        <v>126</v>
      </c>
    </row>
    <row r="308" customFormat="false" ht="15" hidden="false" customHeight="false" outlineLevel="0" collapsed="false">
      <c r="A308" s="18" t="s">
        <v>125</v>
      </c>
      <c r="B308" s="18" t="s">
        <v>126</v>
      </c>
    </row>
    <row r="309" customFormat="false" ht="15" hidden="false" customHeight="false" outlineLevel="0" collapsed="false">
      <c r="A309" s="18" t="s">
        <v>125</v>
      </c>
      <c r="B309" s="18" t="s">
        <v>126</v>
      </c>
    </row>
    <row r="310" customFormat="false" ht="15" hidden="false" customHeight="false" outlineLevel="0" collapsed="false">
      <c r="A310" s="18" t="s">
        <v>125</v>
      </c>
      <c r="B310" s="18" t="s">
        <v>126</v>
      </c>
    </row>
    <row r="311" customFormat="false" ht="15" hidden="false" customHeight="false" outlineLevel="0" collapsed="false">
      <c r="A311" s="18" t="s">
        <v>125</v>
      </c>
      <c r="B311" s="18" t="s">
        <v>126</v>
      </c>
    </row>
    <row r="312" customFormat="false" ht="15" hidden="false" customHeight="false" outlineLevel="0" collapsed="false">
      <c r="A312" s="18" t="s">
        <v>125</v>
      </c>
      <c r="B312" s="18" t="s">
        <v>126</v>
      </c>
    </row>
    <row r="313" customFormat="false" ht="15" hidden="false" customHeight="false" outlineLevel="0" collapsed="false">
      <c r="A313" s="18" t="s">
        <v>125</v>
      </c>
      <c r="B313" s="18" t="s">
        <v>126</v>
      </c>
    </row>
    <row r="315" customFormat="false" ht="15" hidden="false" customHeight="false" outlineLevel="0" collapsed="false">
      <c r="A315" s="20" t="s">
        <v>292</v>
      </c>
      <c r="B315" s="20"/>
      <c r="C315" s="20"/>
      <c r="D315" s="20"/>
      <c r="E315" s="20"/>
    </row>
    <row r="316" customFormat="false" ht="15" hidden="false" customHeight="false" outlineLevel="0" collapsed="false">
      <c r="A316" s="5" t="s">
        <v>17</v>
      </c>
      <c r="B316" s="5" t="s">
        <v>18</v>
      </c>
      <c r="C316" s="5" t="s">
        <v>149</v>
      </c>
      <c r="D316" s="5" t="s">
        <v>150</v>
      </c>
      <c r="E316" s="5" t="s">
        <v>151</v>
      </c>
    </row>
    <row r="317" customFormat="false" ht="15" hidden="false" customHeight="false" outlineLevel="0" collapsed="false">
      <c r="A317" s="18" t="s">
        <v>133</v>
      </c>
      <c r="B317" s="18" t="s">
        <v>134</v>
      </c>
    </row>
    <row r="318" customFormat="false" ht="15" hidden="false" customHeight="false" outlineLevel="0" collapsed="false">
      <c r="A318" s="18" t="s">
        <v>133</v>
      </c>
      <c r="B318" s="18" t="s">
        <v>134</v>
      </c>
    </row>
    <row r="319" customFormat="false" ht="15" hidden="false" customHeight="false" outlineLevel="0" collapsed="false">
      <c r="A319" s="18" t="s">
        <v>133</v>
      </c>
      <c r="B319" s="18" t="s">
        <v>134</v>
      </c>
    </row>
    <row r="320" customFormat="false" ht="15" hidden="false" customHeight="false" outlineLevel="0" collapsed="false">
      <c r="A320" s="18" t="s">
        <v>133</v>
      </c>
      <c r="B320" s="18" t="s">
        <v>134</v>
      </c>
    </row>
    <row r="321" customFormat="false" ht="15" hidden="false" customHeight="false" outlineLevel="0" collapsed="false">
      <c r="A321" s="18" t="s">
        <v>133</v>
      </c>
      <c r="B321" s="18" t="s">
        <v>134</v>
      </c>
    </row>
    <row r="322" customFormat="false" ht="15" hidden="false" customHeight="false" outlineLevel="0" collapsed="false">
      <c r="A322" s="18" t="s">
        <v>133</v>
      </c>
      <c r="B322" s="18" t="s">
        <v>134</v>
      </c>
    </row>
    <row r="323" customFormat="false" ht="15" hidden="false" customHeight="false" outlineLevel="0" collapsed="false">
      <c r="A323" s="18" t="s">
        <v>133</v>
      </c>
      <c r="B323" s="18" t="s">
        <v>134</v>
      </c>
    </row>
    <row r="324" customFormat="false" ht="15" hidden="false" customHeight="false" outlineLevel="0" collapsed="false">
      <c r="A324" s="18" t="s">
        <v>133</v>
      </c>
      <c r="B324" s="18" t="s">
        <v>134</v>
      </c>
    </row>
  </sheetData>
  <mergeCells count="19">
    <mergeCell ref="A2:E2"/>
    <mergeCell ref="A4:E4"/>
    <mergeCell ref="A77:E77"/>
    <mergeCell ref="A88:E88"/>
    <mergeCell ref="A99:E99"/>
    <mergeCell ref="A110:E110"/>
    <mergeCell ref="A121:E121"/>
    <mergeCell ref="A132:E132"/>
    <mergeCell ref="A155:E155"/>
    <mergeCell ref="A166:E166"/>
    <mergeCell ref="A177:E177"/>
    <mergeCell ref="A188:E188"/>
    <mergeCell ref="A199:E199"/>
    <mergeCell ref="A214:E214"/>
    <mergeCell ref="A225:E225"/>
    <mergeCell ref="A238:E238"/>
    <mergeCell ref="A249:E249"/>
    <mergeCell ref="A276:E276"/>
    <mergeCell ref="A315:E3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2026-08-14T15:37:14Z</dcterms:created>
  <dc:creator>openpyxl</dc:creator>
  <dc:description/>
  <dc:language>en-US</dc:language>
  <cp:lastModifiedBy/>
  <dcterms:modified xsi:type="dcterms:W3CDTF">2026-08-14T15:37:14Z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